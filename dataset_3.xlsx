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effe2cbd2a6ebe7c/Desktop/project 1/"/>
    </mc:Choice>
  </mc:AlternateContent>
  <xr:revisionPtr revIDLastSave="64" documentId="13_ncr:1_{A9A79366-2637-44B4-B108-A3634EE7E1D4}" xr6:coauthVersionLast="47" xr6:coauthVersionMax="47" xr10:uidLastSave="{CCD922BB-B73B-46A9-B48B-9AE758BED50D}"/>
  <bookViews>
    <workbookView xWindow="-108" yWindow="-108" windowWidth="23256" windowHeight="12456" activeTab="1" xr2:uid="{00000000-000D-0000-FFFF-FFFF00000000}"/>
  </bookViews>
  <sheets>
    <sheet name="dataset_3" sheetId="1" r:id="rId1"/>
    <sheet name="Table" sheetId="2" r:id="rId2"/>
    <sheet name="Pivot" sheetId="4" r:id="rId3"/>
    <sheet name="Pivot 2" sheetId="5" r:id="rId4"/>
    <sheet name="Sheet1" sheetId="6" r:id="rId5"/>
  </sheets>
  <definedNames>
    <definedName name="Slicer_Day">#N/A</definedName>
    <definedName name="Slicer_Weath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6" l="1"/>
  <c r="E8" i="6"/>
  <c r="E9" i="6"/>
  <c r="E10" i="6"/>
  <c r="E6" i="6"/>
  <c r="E5" i="6"/>
  <c r="E4" i="6"/>
  <c r="D7" i="6"/>
  <c r="D8" i="6"/>
  <c r="D9" i="6"/>
  <c r="D10" i="6"/>
  <c r="D6" i="6"/>
  <c r="D5" i="6"/>
  <c r="D4" i="6"/>
  <c r="F7" i="6"/>
  <c r="F8" i="6"/>
  <c r="F9" i="6"/>
  <c r="F10" i="6"/>
  <c r="F6" i="6"/>
  <c r="F5" i="6"/>
  <c r="F4" i="6"/>
  <c r="R2" i="2" a="1"/>
  <c r="R2" i="2" s="1"/>
  <c r="R3" i="2" a="1"/>
  <c r="R3" i="2" s="1"/>
  <c r="R4" i="2" a="1"/>
  <c r="R4" i="2" s="1"/>
  <c r="R5" i="2" a="1"/>
  <c r="R5" i="2" s="1"/>
  <c r="R6" i="2" a="1"/>
  <c r="R6" i="2" s="1"/>
  <c r="R7" i="2" a="1"/>
  <c r="R7" i="2" s="1"/>
  <c r="R8" i="2" a="1"/>
  <c r="R8" i="2" s="1"/>
  <c r="R9" i="2" a="1"/>
  <c r="R9" i="2" s="1"/>
  <c r="R10" i="2" a="1"/>
  <c r="R10" i="2" s="1"/>
  <c r="R11" i="2" a="1"/>
  <c r="R11" i="2" s="1"/>
  <c r="R12" i="2" a="1"/>
  <c r="R12" i="2" s="1"/>
  <c r="R13" i="2" a="1"/>
  <c r="R13" i="2" s="1"/>
  <c r="R14" i="2" a="1"/>
  <c r="R14" i="2" s="1"/>
  <c r="R15" i="2" a="1"/>
  <c r="R15" i="2" s="1"/>
  <c r="R16" i="2" a="1"/>
  <c r="R16" i="2" s="1"/>
  <c r="R17" i="2" a="1"/>
  <c r="R17" i="2" s="1"/>
  <c r="R18" i="2" a="1"/>
  <c r="R18" i="2" s="1"/>
  <c r="R19" i="2" a="1"/>
  <c r="R19" i="2" s="1"/>
  <c r="R20" i="2" a="1"/>
  <c r="R20" i="2" s="1"/>
  <c r="R21" i="2" a="1"/>
  <c r="R21" i="2" s="1"/>
  <c r="R22" i="2" a="1"/>
  <c r="R22" i="2" s="1"/>
  <c r="R23" i="2" a="1"/>
  <c r="R23" i="2" s="1"/>
  <c r="R24" i="2" a="1"/>
  <c r="R24" i="2" s="1"/>
  <c r="R25" i="2" a="1"/>
  <c r="R25" i="2" s="1"/>
  <c r="R26" i="2" a="1"/>
  <c r="R26" i="2" s="1"/>
  <c r="R27" i="2" a="1"/>
  <c r="R27" i="2" s="1"/>
  <c r="R28" i="2" a="1"/>
  <c r="R28" i="2" s="1"/>
  <c r="R29" i="2" a="1"/>
  <c r="R29" i="2" s="1"/>
  <c r="R30" i="2" a="1"/>
  <c r="R30" i="2" s="1"/>
  <c r="R31" i="2" a="1"/>
  <c r="R31" i="2" s="1"/>
  <c r="R32" i="2" a="1"/>
  <c r="R32" i="2" s="1"/>
  <c r="R33" i="2" a="1"/>
  <c r="R33" i="2" s="1"/>
  <c r="R34" i="2" a="1"/>
  <c r="R34" i="2" s="1"/>
  <c r="R35" i="2" a="1"/>
  <c r="R35" i="2" s="1"/>
  <c r="R36" i="2" a="1"/>
  <c r="R36" i="2" s="1"/>
  <c r="R37" i="2" a="1"/>
  <c r="R37" i="2" s="1"/>
  <c r="R38" i="2" a="1"/>
  <c r="R38" i="2" s="1"/>
  <c r="R39" i="2" a="1"/>
  <c r="R39" i="2" s="1"/>
  <c r="R40" i="2" a="1"/>
  <c r="R40" i="2" s="1"/>
  <c r="R41" i="2" a="1"/>
  <c r="R41" i="2" s="1"/>
  <c r="R42" i="2" a="1"/>
  <c r="R42" i="2" s="1"/>
  <c r="R43" i="2" a="1"/>
  <c r="R43" i="2" s="1"/>
  <c r="R44" i="2" a="1"/>
  <c r="R44" i="2" s="1"/>
  <c r="R45" i="2" a="1"/>
  <c r="R45" i="2" s="1"/>
  <c r="R46" i="2" a="1"/>
  <c r="R46" i="2" s="1"/>
  <c r="R47" i="2" a="1"/>
  <c r="R47" i="2" s="1"/>
  <c r="R48" i="2" a="1"/>
  <c r="R48" i="2" s="1"/>
  <c r="R49" i="2" a="1"/>
  <c r="R49" i="2" s="1"/>
  <c r="R50" i="2" a="1"/>
  <c r="R50" i="2" s="1"/>
  <c r="R51" i="2" a="1"/>
  <c r="R51" i="2" s="1"/>
  <c r="R52" i="2" a="1"/>
  <c r="R52" i="2" s="1"/>
  <c r="R53" i="2" a="1"/>
  <c r="R53" i="2" s="1"/>
  <c r="R54" i="2" a="1"/>
  <c r="R54" i="2" s="1"/>
  <c r="R55" i="2" a="1"/>
  <c r="R55" i="2" s="1"/>
  <c r="R56" i="2" a="1"/>
  <c r="R56" i="2" s="1"/>
  <c r="R57" i="2" a="1"/>
  <c r="R57" i="2" s="1"/>
  <c r="R58" i="2" a="1"/>
  <c r="R58" i="2" s="1"/>
  <c r="R59" i="2" a="1"/>
  <c r="R59" i="2" s="1"/>
  <c r="R60" i="2" a="1"/>
  <c r="R60" i="2" s="1"/>
  <c r="R61" i="2" a="1"/>
  <c r="R61" i="2" s="1"/>
  <c r="R62" i="2" a="1"/>
  <c r="R62" i="2" s="1"/>
  <c r="R63" i="2" a="1"/>
  <c r="R63" i="2" s="1"/>
  <c r="R64" i="2" a="1"/>
  <c r="R64" i="2" s="1"/>
  <c r="R65" i="2" a="1"/>
  <c r="R65" i="2" s="1"/>
  <c r="R66" i="2" a="1"/>
  <c r="R66" i="2" s="1"/>
  <c r="R67" i="2" a="1"/>
  <c r="R67" i="2" s="1"/>
  <c r="R68" i="2" a="1"/>
  <c r="R68" i="2" s="1"/>
  <c r="R69" i="2" a="1"/>
  <c r="R69" i="2" s="1"/>
  <c r="R70" i="2" a="1"/>
  <c r="R70" i="2" s="1"/>
  <c r="R71" i="2" a="1"/>
  <c r="R71" i="2" s="1"/>
  <c r="R72" i="2" a="1"/>
  <c r="R72" i="2" s="1"/>
  <c r="R73" i="2" a="1"/>
  <c r="R73" i="2" s="1"/>
  <c r="R74" i="2" a="1"/>
  <c r="R74" i="2" s="1"/>
  <c r="R75" i="2" a="1"/>
  <c r="R75" i="2" s="1"/>
  <c r="R76" i="2" a="1"/>
  <c r="R76" i="2" s="1"/>
  <c r="R77" i="2" a="1"/>
  <c r="R77" i="2" s="1"/>
  <c r="R78" i="2" a="1"/>
  <c r="R78" i="2" s="1"/>
  <c r="R79" i="2" a="1"/>
  <c r="R79" i="2" s="1"/>
  <c r="R80" i="2" a="1"/>
  <c r="R80" i="2" s="1"/>
  <c r="R81" i="2" a="1"/>
  <c r="R81" i="2" s="1"/>
  <c r="R82" i="2" a="1"/>
  <c r="R82" i="2" s="1"/>
  <c r="R83" i="2" a="1"/>
  <c r="R83" i="2" s="1"/>
  <c r="R84" i="2" a="1"/>
  <c r="R84" i="2" s="1"/>
  <c r="R85" i="2" a="1"/>
  <c r="R85" i="2" s="1"/>
  <c r="R86" i="2" a="1"/>
  <c r="R86" i="2" s="1"/>
  <c r="R87" i="2" a="1"/>
  <c r="R87" i="2" s="1"/>
  <c r="R88" i="2" a="1"/>
  <c r="R88" i="2" s="1"/>
  <c r="R89" i="2" a="1"/>
  <c r="R89" i="2" s="1"/>
  <c r="R90" i="2" a="1"/>
  <c r="R90" i="2" s="1"/>
  <c r="R91" i="2" a="1"/>
  <c r="R91" i="2" s="1"/>
  <c r="R92" i="2" a="1"/>
  <c r="R92" i="2" s="1"/>
  <c r="R93" i="2" a="1"/>
  <c r="R93" i="2" s="1"/>
  <c r="R94" i="2" a="1"/>
  <c r="R94" i="2" s="1"/>
  <c r="R95" i="2" a="1"/>
  <c r="R95" i="2" s="1"/>
  <c r="R96" i="2" a="1"/>
  <c r="R96" i="2" s="1"/>
  <c r="R97" i="2" a="1"/>
  <c r="R97" i="2" s="1"/>
  <c r="R98" i="2" a="1"/>
  <c r="R98" i="2" s="1"/>
  <c r="R99" i="2" a="1"/>
  <c r="R99" i="2" s="1"/>
  <c r="R100" i="2" a="1"/>
  <c r="R100" i="2" s="1"/>
  <c r="R101" i="2" a="1"/>
  <c r="R101" i="2" s="1"/>
  <c r="R102" i="2" a="1"/>
  <c r="R102" i="2" s="1"/>
  <c r="R103" i="2" a="1"/>
  <c r="R103" i="2" s="1"/>
  <c r="R104" i="2" a="1"/>
  <c r="R104" i="2" s="1"/>
  <c r="R105" i="2" a="1"/>
  <c r="R105" i="2" s="1"/>
  <c r="R106" i="2" a="1"/>
  <c r="R106" i="2" s="1"/>
  <c r="R107" i="2" a="1"/>
  <c r="R107" i="2" s="1"/>
  <c r="R108" i="2" a="1"/>
  <c r="R108" i="2" s="1"/>
  <c r="R109" i="2" a="1"/>
  <c r="R109" i="2" s="1"/>
  <c r="R110" i="2" a="1"/>
  <c r="R110" i="2" s="1"/>
  <c r="R111" i="2" a="1"/>
  <c r="R111" i="2" s="1"/>
  <c r="R112" i="2" a="1"/>
  <c r="R112" i="2" s="1"/>
  <c r="R113" i="2" a="1"/>
  <c r="R113" i="2" s="1"/>
  <c r="R114" i="2" a="1"/>
  <c r="R114" i="2" s="1"/>
  <c r="R115" i="2" a="1"/>
  <c r="R115" i="2" s="1"/>
  <c r="R116" i="2" a="1"/>
  <c r="R116" i="2" s="1"/>
  <c r="R117" i="2" a="1"/>
  <c r="R117" i="2" s="1"/>
  <c r="R118" i="2" a="1"/>
  <c r="R118" i="2" s="1"/>
  <c r="R119" i="2" a="1"/>
  <c r="R119" i="2" s="1"/>
  <c r="R120" i="2" a="1"/>
  <c r="R120" i="2" s="1"/>
  <c r="R121" i="2" a="1"/>
  <c r="R121" i="2" s="1"/>
  <c r="R122" i="2" a="1"/>
  <c r="R122" i="2" s="1"/>
  <c r="R123" i="2" a="1"/>
  <c r="R123" i="2" s="1"/>
  <c r="R124" i="2" a="1"/>
  <c r="R124" i="2" s="1"/>
  <c r="R125" i="2" a="1"/>
  <c r="R125" i="2" s="1"/>
  <c r="R126" i="2" a="1"/>
  <c r="R126" i="2" s="1"/>
  <c r="R127" i="2" a="1"/>
  <c r="R127" i="2" s="1"/>
  <c r="R128" i="2" a="1"/>
  <c r="R128" i="2" s="1"/>
  <c r="R129" i="2" a="1"/>
  <c r="R129" i="2" s="1"/>
  <c r="R130" i="2" a="1"/>
  <c r="R130" i="2" s="1"/>
  <c r="R131" i="2" a="1"/>
  <c r="R131" i="2" s="1"/>
  <c r="R132" i="2" a="1"/>
  <c r="R132" i="2" s="1"/>
  <c r="R133" i="2" a="1"/>
  <c r="R133" i="2" s="1"/>
  <c r="R134" i="2" a="1"/>
  <c r="R134" i="2" s="1"/>
  <c r="R135" i="2" a="1"/>
  <c r="R135" i="2" s="1"/>
  <c r="R136" i="2" a="1"/>
  <c r="R136" i="2" s="1"/>
  <c r="R137" i="2" a="1"/>
  <c r="R137" i="2" s="1"/>
  <c r="R138" i="2" a="1"/>
  <c r="R138" i="2" s="1"/>
  <c r="R139" i="2" a="1"/>
  <c r="R139" i="2" s="1"/>
  <c r="R140" i="2" a="1"/>
  <c r="R140" i="2" s="1"/>
  <c r="R141" i="2" a="1"/>
  <c r="R141" i="2" s="1"/>
  <c r="R142" i="2" a="1"/>
  <c r="R142" i="2" s="1"/>
  <c r="R143" i="2" a="1"/>
  <c r="R143" i="2" s="1"/>
  <c r="R144" i="2" a="1"/>
  <c r="R144" i="2" s="1"/>
  <c r="R145" i="2" a="1"/>
  <c r="R145" i="2" s="1"/>
  <c r="R146" i="2" a="1"/>
  <c r="R146" i="2" s="1"/>
  <c r="R147" i="2" a="1"/>
  <c r="R147" i="2" s="1"/>
  <c r="R148" i="2" a="1"/>
  <c r="R148" i="2" s="1"/>
  <c r="R149" i="2" a="1"/>
  <c r="R149" i="2" s="1"/>
  <c r="R150" i="2" a="1"/>
  <c r="R150" i="2" s="1"/>
  <c r="R151" i="2" a="1"/>
  <c r="R151" i="2" s="1"/>
  <c r="R152" i="2" a="1"/>
  <c r="R152" i="2" s="1"/>
  <c r="R153" i="2" a="1"/>
  <c r="R153" i="2" s="1"/>
  <c r="R154" i="2" a="1"/>
  <c r="R154" i="2" s="1"/>
  <c r="R155" i="2" a="1"/>
  <c r="R155" i="2" s="1"/>
  <c r="R156" i="2" a="1"/>
  <c r="R156" i="2" s="1"/>
  <c r="R157" i="2" a="1"/>
  <c r="R157" i="2" s="1"/>
  <c r="R158" i="2" a="1"/>
  <c r="R158" i="2" s="1"/>
  <c r="R159" i="2" a="1"/>
  <c r="R159" i="2" s="1"/>
  <c r="R160" i="2" a="1"/>
  <c r="R160" i="2" s="1"/>
  <c r="R161" i="2" a="1"/>
  <c r="R161" i="2" s="1"/>
  <c r="R162" i="2" a="1"/>
  <c r="R162" i="2" s="1"/>
  <c r="R163" i="2" a="1"/>
  <c r="R163" i="2" s="1"/>
  <c r="R164" i="2" a="1"/>
  <c r="R164" i="2" s="1"/>
  <c r="R165" i="2" a="1"/>
  <c r="R165" i="2" s="1"/>
  <c r="R166" i="2" a="1"/>
  <c r="R166" i="2" s="1"/>
  <c r="R167" i="2" a="1"/>
  <c r="R167" i="2" s="1"/>
  <c r="R168" i="2" a="1"/>
  <c r="R168" i="2" s="1"/>
  <c r="R169" i="2" a="1"/>
  <c r="R169" i="2" s="1"/>
  <c r="R170" i="2" a="1"/>
  <c r="R170" i="2" s="1"/>
  <c r="R171" i="2" a="1"/>
  <c r="R171" i="2" s="1"/>
  <c r="R172" i="2" a="1"/>
  <c r="R172" i="2" s="1"/>
  <c r="R173" i="2" a="1"/>
  <c r="R173" i="2" s="1"/>
  <c r="R174" i="2" a="1"/>
  <c r="R174" i="2" s="1"/>
  <c r="R175" i="2" a="1"/>
  <c r="R175" i="2" s="1"/>
  <c r="R176" i="2" a="1"/>
  <c r="R176" i="2" s="1"/>
  <c r="R177" i="2" a="1"/>
  <c r="R177" i="2" s="1"/>
  <c r="R178" i="2" a="1"/>
  <c r="R178" i="2" s="1"/>
  <c r="R179" i="2" a="1"/>
  <c r="R179" i="2" s="1"/>
  <c r="R180" i="2" a="1"/>
  <c r="R180" i="2" s="1"/>
  <c r="R181" i="2" a="1"/>
  <c r="R181" i="2" s="1"/>
  <c r="R182" i="2" a="1"/>
  <c r="R182" i="2" s="1"/>
  <c r="R183" i="2" a="1"/>
  <c r="R183" i="2" s="1"/>
  <c r="R184" i="2" a="1"/>
  <c r="R184" i="2" s="1"/>
  <c r="R185" i="2" a="1"/>
  <c r="R185" i="2" s="1"/>
  <c r="R186" i="2" a="1"/>
  <c r="R186" i="2" s="1"/>
  <c r="R187" i="2" a="1"/>
  <c r="R187" i="2" s="1"/>
  <c r="R188" i="2" a="1"/>
  <c r="R188" i="2" s="1"/>
  <c r="R189" i="2" a="1"/>
  <c r="R189" i="2" s="1"/>
  <c r="R190" i="2" a="1"/>
  <c r="R190" i="2" s="1"/>
  <c r="R191" i="2" a="1"/>
  <c r="R191" i="2" s="1"/>
  <c r="R192" i="2" a="1"/>
  <c r="R192" i="2" s="1"/>
  <c r="R193" i="2" a="1"/>
  <c r="R193" i="2" s="1"/>
  <c r="R194" i="2" a="1"/>
  <c r="R194" i="2" s="1"/>
  <c r="R195" i="2" a="1"/>
  <c r="R195" i="2" s="1"/>
  <c r="R196" i="2" a="1"/>
  <c r="R196" i="2" s="1"/>
  <c r="R197" i="2" a="1"/>
  <c r="R197" i="2" s="1"/>
  <c r="R198" i="2" a="1"/>
  <c r="R198" i="2" s="1"/>
  <c r="R199" i="2" a="1"/>
  <c r="R199" i="2" s="1"/>
  <c r="R200" i="2" a="1"/>
  <c r="R200" i="2" s="1"/>
  <c r="R201" i="2" a="1"/>
  <c r="R201" i="2" s="1"/>
  <c r="R202" i="2" a="1"/>
  <c r="R202" i="2" s="1"/>
  <c r="R203" i="2" a="1"/>
  <c r="R203" i="2" s="1"/>
  <c r="R204" i="2" a="1"/>
  <c r="R204" i="2" s="1"/>
  <c r="R205" i="2" a="1"/>
  <c r="R205" i="2" s="1"/>
  <c r="R206" i="2" a="1"/>
  <c r="R206" i="2" s="1"/>
  <c r="R207" i="2" a="1"/>
  <c r="R207" i="2" s="1"/>
  <c r="R208" i="2" a="1"/>
  <c r="R208" i="2" s="1"/>
  <c r="R209" i="2" a="1"/>
  <c r="R209" i="2" s="1"/>
  <c r="R210" i="2" a="1"/>
  <c r="R210" i="2" s="1"/>
  <c r="R211" i="2" a="1"/>
  <c r="R211" i="2" s="1"/>
  <c r="R212" i="2" a="1"/>
  <c r="R212" i="2" s="1"/>
  <c r="R213" i="2" a="1"/>
  <c r="R213" i="2" s="1"/>
  <c r="R214" i="2" a="1"/>
  <c r="R214" i="2" s="1"/>
  <c r="R215" i="2" a="1"/>
  <c r="R215" i="2" s="1"/>
  <c r="R216" i="2" a="1"/>
  <c r="R216" i="2" s="1"/>
  <c r="R217" i="2" a="1"/>
  <c r="R217" i="2" s="1"/>
  <c r="R218" i="2" a="1"/>
  <c r="R218" i="2" s="1"/>
  <c r="R219" i="2" a="1"/>
  <c r="R219" i="2" s="1"/>
  <c r="R220" i="2" a="1"/>
  <c r="R220" i="2" s="1"/>
  <c r="R221" i="2" a="1"/>
  <c r="R221" i="2" s="1"/>
  <c r="R222" i="2" a="1"/>
  <c r="R222" i="2" s="1"/>
  <c r="R223" i="2" a="1"/>
  <c r="R223" i="2" s="1"/>
  <c r="R224" i="2" a="1"/>
  <c r="R224" i="2" s="1"/>
  <c r="R225" i="2" a="1"/>
  <c r="R225" i="2" s="1"/>
  <c r="R226" i="2" a="1"/>
  <c r="R226" i="2" s="1"/>
  <c r="R227" i="2" a="1"/>
  <c r="R227" i="2" s="1"/>
  <c r="R228" i="2" a="1"/>
  <c r="R228" i="2" s="1"/>
  <c r="R229" i="2" a="1"/>
  <c r="R229" i="2" s="1"/>
  <c r="R230" i="2" a="1"/>
  <c r="R230" i="2" s="1"/>
  <c r="R231" i="2" a="1"/>
  <c r="R231" i="2" s="1"/>
  <c r="R232" i="2" a="1"/>
  <c r="R232" i="2" s="1"/>
  <c r="R233" i="2" a="1"/>
  <c r="R233" i="2" s="1"/>
  <c r="R234" i="2" a="1"/>
  <c r="R234" i="2" s="1"/>
  <c r="R235" i="2" a="1"/>
  <c r="R235" i="2" s="1"/>
  <c r="R236" i="2" a="1"/>
  <c r="R236" i="2" s="1"/>
  <c r="R237" i="2" a="1"/>
  <c r="R237" i="2" s="1"/>
  <c r="R238" i="2" a="1"/>
  <c r="R238" i="2" s="1"/>
  <c r="R239" i="2" a="1"/>
  <c r="R239" i="2" s="1"/>
  <c r="R240" i="2" a="1"/>
  <c r="R240" i="2" s="1"/>
  <c r="R241" i="2" a="1"/>
  <c r="R241" i="2" s="1"/>
  <c r="R242" i="2" a="1"/>
  <c r="R242" i="2" s="1"/>
  <c r="R243" i="2" a="1"/>
  <c r="R243" i="2" s="1"/>
  <c r="R244" i="2" a="1"/>
  <c r="R244" i="2" s="1"/>
  <c r="R245" i="2" a="1"/>
  <c r="R245" i="2" s="1"/>
  <c r="R246" i="2" a="1"/>
  <c r="R246" i="2" s="1"/>
  <c r="R247" i="2" a="1"/>
  <c r="R247" i="2" s="1"/>
  <c r="R248" i="2" a="1"/>
  <c r="R248" i="2" s="1"/>
  <c r="R249" i="2" a="1"/>
  <c r="R249" i="2" s="1"/>
  <c r="R250" i="2" a="1"/>
  <c r="R250" i="2" s="1"/>
  <c r="R251" i="2" a="1"/>
  <c r="R251" i="2" s="1"/>
  <c r="R252" i="2" a="1"/>
  <c r="R252" i="2" s="1"/>
  <c r="R253" i="2" a="1"/>
  <c r="R253" i="2" s="1"/>
  <c r="R254" i="2" a="1"/>
  <c r="R254" i="2" s="1"/>
  <c r="R255" i="2" a="1"/>
  <c r="R255" i="2" s="1"/>
  <c r="R256" i="2" a="1"/>
  <c r="R256" i="2" s="1"/>
  <c r="R257" i="2" a="1"/>
  <c r="R257" i="2" s="1"/>
  <c r="R258" i="2" a="1"/>
  <c r="R258" i="2" s="1"/>
  <c r="R259" i="2" a="1"/>
  <c r="R259" i="2" s="1"/>
  <c r="R260" i="2" a="1"/>
  <c r="R260" i="2" s="1"/>
  <c r="R261" i="2" a="1"/>
  <c r="R261" i="2" s="1"/>
  <c r="R262" i="2" a="1"/>
  <c r="R262" i="2" s="1"/>
  <c r="R263" i="2" a="1"/>
  <c r="R263" i="2" s="1"/>
  <c r="R264" i="2" a="1"/>
  <c r="R264" i="2" s="1"/>
  <c r="R265" i="2" a="1"/>
  <c r="R265" i="2" s="1"/>
  <c r="R266" i="2" a="1"/>
  <c r="R266" i="2" s="1"/>
  <c r="R267" i="2" a="1"/>
  <c r="R267" i="2" s="1"/>
  <c r="R268" i="2" a="1"/>
  <c r="R268" i="2" s="1"/>
  <c r="R269" i="2" a="1"/>
  <c r="R269" i="2" s="1"/>
  <c r="R270" i="2" a="1"/>
  <c r="R270" i="2" s="1"/>
  <c r="R271" i="2" a="1"/>
  <c r="R271" i="2" s="1"/>
  <c r="R272" i="2" a="1"/>
  <c r="R272" i="2" s="1"/>
  <c r="R273" i="2" a="1"/>
  <c r="R273" i="2" s="1"/>
  <c r="R274" i="2" a="1"/>
  <c r="R274" i="2" s="1"/>
  <c r="R275" i="2" a="1"/>
  <c r="R275" i="2" s="1"/>
  <c r="R276" i="2" a="1"/>
  <c r="R276" i="2" s="1"/>
  <c r="R277" i="2" a="1"/>
  <c r="R277" i="2" s="1"/>
  <c r="R278" i="2" a="1"/>
  <c r="R278" i="2" s="1"/>
  <c r="R279" i="2" a="1"/>
  <c r="R279" i="2" s="1"/>
  <c r="R280" i="2" a="1"/>
  <c r="R280" i="2" s="1"/>
  <c r="R281" i="2" a="1"/>
  <c r="R281" i="2" s="1"/>
  <c r="R282" i="2" a="1"/>
  <c r="R282" i="2" s="1"/>
  <c r="R283" i="2" a="1"/>
  <c r="R283" i="2" s="1"/>
  <c r="R284" i="2" a="1"/>
  <c r="R284" i="2" s="1"/>
  <c r="R285" i="2" a="1"/>
  <c r="R285" i="2" s="1"/>
  <c r="R286" i="2" a="1"/>
  <c r="R286" i="2" s="1"/>
  <c r="R287" i="2" a="1"/>
  <c r="R287" i="2" s="1"/>
  <c r="R288" i="2" a="1"/>
  <c r="R288" i="2" s="1"/>
  <c r="R289" i="2" a="1"/>
  <c r="R289" i="2" s="1"/>
  <c r="R290" i="2" a="1"/>
  <c r="R290" i="2" s="1"/>
  <c r="R291" i="2" a="1"/>
  <c r="R291" i="2" s="1"/>
  <c r="R292" i="2" a="1"/>
  <c r="R292" i="2" s="1"/>
  <c r="R293" i="2" a="1"/>
  <c r="R293" i="2" s="1"/>
  <c r="R294" i="2" a="1"/>
  <c r="R294" i="2" s="1"/>
  <c r="R295" i="2" a="1"/>
  <c r="R295" i="2" s="1"/>
  <c r="R296" i="2" a="1"/>
  <c r="R296" i="2" s="1"/>
  <c r="R297" i="2" a="1"/>
  <c r="R297" i="2" s="1"/>
  <c r="R298" i="2" a="1"/>
  <c r="R298" i="2" s="1"/>
  <c r="R299" i="2" a="1"/>
  <c r="R299" i="2" s="1"/>
  <c r="R300" i="2" a="1"/>
  <c r="R300" i="2" s="1"/>
  <c r="R301" i="2" a="1"/>
  <c r="R301" i="2" s="1"/>
  <c r="R302" i="2" a="1"/>
  <c r="R302" i="2" s="1"/>
  <c r="R303" i="2" a="1"/>
  <c r="R303" i="2" s="1"/>
  <c r="R304" i="2" a="1"/>
  <c r="R304" i="2" s="1"/>
  <c r="R305" i="2" a="1"/>
  <c r="R305" i="2" s="1"/>
  <c r="R306" i="2" a="1"/>
  <c r="R306" i="2" s="1"/>
  <c r="R307" i="2" a="1"/>
  <c r="R307" i="2" s="1"/>
  <c r="R308" i="2" a="1"/>
  <c r="R308" i="2" s="1"/>
  <c r="R309" i="2" a="1"/>
  <c r="R309" i="2" s="1"/>
  <c r="R310" i="2" a="1"/>
  <c r="R310" i="2" s="1"/>
  <c r="R311" i="2" a="1"/>
  <c r="R311" i="2" s="1"/>
  <c r="R312" i="2" a="1"/>
  <c r="R312" i="2" s="1"/>
  <c r="R313" i="2" a="1"/>
  <c r="R313" i="2" s="1"/>
  <c r="R314" i="2" a="1"/>
  <c r="R314" i="2" s="1"/>
  <c r="R315" i="2" a="1"/>
  <c r="R315" i="2" s="1"/>
  <c r="R316" i="2" a="1"/>
  <c r="R316" i="2" s="1"/>
  <c r="R317" i="2" a="1"/>
  <c r="R317" i="2" s="1"/>
  <c r="R318" i="2" a="1"/>
  <c r="R318" i="2" s="1"/>
  <c r="R319" i="2" a="1"/>
  <c r="R319" i="2" s="1"/>
  <c r="R320" i="2" a="1"/>
  <c r="R320" i="2" s="1"/>
  <c r="R321" i="2" a="1"/>
  <c r="R321" i="2" s="1"/>
  <c r="R322" i="2" a="1"/>
  <c r="R322" i="2" s="1"/>
  <c r="R323" i="2" a="1"/>
  <c r="R323" i="2" s="1"/>
  <c r="R324" i="2" a="1"/>
  <c r="R324" i="2" s="1"/>
  <c r="R325" i="2" a="1"/>
  <c r="R325" i="2" s="1"/>
  <c r="R326" i="2" a="1"/>
  <c r="R326" i="2" s="1"/>
  <c r="R327" i="2" a="1"/>
  <c r="R327" i="2" s="1"/>
  <c r="R328" i="2" a="1"/>
  <c r="R328" i="2" s="1"/>
  <c r="R329" i="2" a="1"/>
  <c r="R329" i="2" s="1"/>
  <c r="R330" i="2" a="1"/>
  <c r="R330" i="2" s="1"/>
  <c r="R331" i="2" a="1"/>
  <c r="R331" i="2" s="1"/>
  <c r="R332" i="2" a="1"/>
  <c r="R332" i="2" s="1"/>
  <c r="R333" i="2" a="1"/>
  <c r="R333" i="2" s="1"/>
  <c r="R334" i="2" a="1"/>
  <c r="R334" i="2" s="1"/>
  <c r="R335" i="2" a="1"/>
  <c r="R335" i="2" s="1"/>
  <c r="R336" i="2" a="1"/>
  <c r="R336" i="2" s="1"/>
  <c r="R337" i="2" a="1"/>
  <c r="R337" i="2" s="1"/>
  <c r="R338" i="2" a="1"/>
  <c r="R338" i="2" s="1"/>
  <c r="R339" i="2" a="1"/>
  <c r="R339" i="2" s="1"/>
  <c r="R340" i="2" a="1"/>
  <c r="R340" i="2" s="1"/>
  <c r="R341" i="2" a="1"/>
  <c r="R341" i="2" s="1"/>
  <c r="R342" i="2" a="1"/>
  <c r="R342" i="2" s="1"/>
  <c r="R343" i="2" a="1"/>
  <c r="R343" i="2" s="1"/>
  <c r="R344" i="2" a="1"/>
  <c r="R344" i="2" s="1"/>
  <c r="R345" i="2" a="1"/>
  <c r="R345" i="2" s="1"/>
  <c r="R346" i="2" a="1"/>
  <c r="R346" i="2" s="1"/>
  <c r="R347" i="2" a="1"/>
  <c r="R347" i="2" s="1"/>
  <c r="R348" i="2" a="1"/>
  <c r="R348" i="2" s="1"/>
  <c r="R349" i="2" a="1"/>
  <c r="R349" i="2" s="1"/>
  <c r="R350" i="2" a="1"/>
  <c r="R350" i="2" s="1"/>
  <c r="R351" i="2" a="1"/>
  <c r="R351" i="2" s="1"/>
  <c r="R352" i="2" a="1"/>
  <c r="R352" i="2" s="1"/>
  <c r="R353" i="2" a="1"/>
  <c r="R353" i="2" s="1"/>
  <c r="R354" i="2" a="1"/>
  <c r="R354" i="2" s="1"/>
  <c r="R355" i="2" a="1"/>
  <c r="R355" i="2" s="1"/>
  <c r="R356" i="2" a="1"/>
  <c r="R356" i="2" s="1"/>
  <c r="R357" i="2" a="1"/>
  <c r="R357" i="2" s="1"/>
  <c r="R358" i="2" a="1"/>
  <c r="R358" i="2" s="1"/>
  <c r="R359" i="2" a="1"/>
  <c r="R359" i="2" s="1"/>
  <c r="R360" i="2" a="1"/>
  <c r="R360" i="2" s="1"/>
  <c r="R361" i="2" a="1"/>
  <c r="R361" i="2" s="1"/>
  <c r="R362" i="2" a="1"/>
  <c r="R362" i="2" s="1"/>
  <c r="R363" i="2" a="1"/>
  <c r="R363" i="2" s="1"/>
  <c r="R364" i="2" a="1"/>
  <c r="R364" i="2" s="1"/>
  <c r="R365" i="2" a="1"/>
  <c r="R365" i="2" s="1"/>
  <c r="R366" i="2" a="1"/>
  <c r="R366" i="2" s="1"/>
  <c r="R367" i="2" a="1"/>
  <c r="R367" i="2" s="1"/>
  <c r="R368" i="2" a="1"/>
  <c r="R368" i="2" s="1"/>
  <c r="R369" i="2" a="1"/>
  <c r="R369" i="2" s="1"/>
  <c r="R370" i="2" a="1"/>
  <c r="R370" i="2" s="1"/>
  <c r="R371" i="2" a="1"/>
  <c r="R371" i="2" s="1"/>
  <c r="R372" i="2" a="1"/>
  <c r="R372" i="2" s="1"/>
  <c r="R373" i="2" a="1"/>
  <c r="R373" i="2" s="1"/>
  <c r="R374" i="2" a="1"/>
  <c r="R374" i="2" s="1"/>
  <c r="R375" i="2" a="1"/>
  <c r="R375" i="2" s="1"/>
  <c r="R376" i="2" a="1"/>
  <c r="R376" i="2" s="1"/>
  <c r="R377" i="2" a="1"/>
  <c r="R377" i="2" s="1"/>
  <c r="R378" i="2" a="1"/>
  <c r="R378" i="2" s="1"/>
  <c r="R379" i="2" a="1"/>
  <c r="R379" i="2" s="1"/>
  <c r="R380" i="2" a="1"/>
  <c r="R380" i="2" s="1"/>
  <c r="R381" i="2" a="1"/>
  <c r="R381" i="2" s="1"/>
  <c r="R382" i="2" a="1"/>
  <c r="R382" i="2" s="1"/>
  <c r="R383" i="2" a="1"/>
  <c r="R383" i="2" s="1"/>
  <c r="R384" i="2" a="1"/>
  <c r="R384" i="2" s="1"/>
  <c r="R385" i="2" a="1"/>
  <c r="R385" i="2" s="1"/>
  <c r="R386" i="2" a="1"/>
  <c r="R386" i="2" s="1"/>
  <c r="R387" i="2" a="1"/>
  <c r="R387" i="2" s="1"/>
  <c r="R388" i="2" a="1"/>
  <c r="R388" i="2" s="1"/>
  <c r="R389" i="2" a="1"/>
  <c r="R389" i="2" s="1"/>
  <c r="R390" i="2" a="1"/>
  <c r="R390" i="2" s="1"/>
  <c r="R391" i="2" a="1"/>
  <c r="R391" i="2" s="1"/>
  <c r="Q2" i="2" a="1"/>
  <c r="Q2" i="2" s="1"/>
  <c r="Q3" i="2" a="1"/>
  <c r="Q3" i="2" s="1"/>
  <c r="Q4" i="2" a="1"/>
  <c r="Q4" i="2" s="1"/>
  <c r="Q5" i="2" a="1"/>
  <c r="Q5" i="2" s="1"/>
  <c r="Q6" i="2" a="1"/>
  <c r="Q6" i="2" s="1"/>
  <c r="Q7" i="2" a="1"/>
  <c r="Q7" i="2" s="1"/>
  <c r="Q8" i="2" a="1"/>
  <c r="Q8" i="2" s="1"/>
  <c r="Q9" i="2" a="1"/>
  <c r="Q9" i="2" s="1"/>
  <c r="Q10" i="2" a="1"/>
  <c r="Q10" i="2" s="1"/>
  <c r="Q11" i="2" a="1"/>
  <c r="Q11" i="2" s="1"/>
  <c r="Q12" i="2" a="1"/>
  <c r="Q12" i="2" s="1"/>
  <c r="Q13" i="2" a="1"/>
  <c r="Q13" i="2" s="1"/>
  <c r="Q14" i="2" a="1"/>
  <c r="Q14" i="2" s="1"/>
  <c r="Q15" i="2" a="1"/>
  <c r="Q15" i="2" s="1"/>
  <c r="Q16" i="2" a="1"/>
  <c r="Q16" i="2" s="1"/>
  <c r="Q17" i="2" a="1"/>
  <c r="Q17" i="2" s="1"/>
  <c r="Q18" i="2" a="1"/>
  <c r="Q18" i="2" s="1"/>
  <c r="Q19" i="2" a="1"/>
  <c r="Q19" i="2" s="1"/>
  <c r="Q20" i="2" a="1"/>
  <c r="Q20" i="2" s="1"/>
  <c r="Q21" i="2" a="1"/>
  <c r="Q21" i="2" s="1"/>
  <c r="Q22" i="2" a="1"/>
  <c r="Q22" i="2" s="1"/>
  <c r="Q23" i="2" a="1"/>
  <c r="Q23" i="2" s="1"/>
  <c r="Q24" i="2" a="1"/>
  <c r="Q24" i="2" s="1"/>
  <c r="Q25" i="2" a="1"/>
  <c r="Q25" i="2" s="1"/>
  <c r="Q26" i="2" a="1"/>
  <c r="Q26" i="2" s="1"/>
  <c r="Q27" i="2" a="1"/>
  <c r="Q27" i="2" s="1"/>
  <c r="Q28" i="2" a="1"/>
  <c r="Q28" i="2" s="1"/>
  <c r="Q29" i="2" a="1"/>
  <c r="Q29" i="2" s="1"/>
  <c r="Q30" i="2" a="1"/>
  <c r="Q30" i="2" s="1"/>
  <c r="Q31" i="2" a="1"/>
  <c r="Q31" i="2" s="1"/>
  <c r="Q32" i="2" a="1"/>
  <c r="Q32" i="2" s="1"/>
  <c r="Q33" i="2" a="1"/>
  <c r="Q33" i="2" s="1"/>
  <c r="Q34" i="2" a="1"/>
  <c r="Q34" i="2" s="1"/>
  <c r="Q35" i="2" a="1"/>
  <c r="Q35" i="2" s="1"/>
  <c r="Q36" i="2" a="1"/>
  <c r="Q36" i="2" s="1"/>
  <c r="Q37" i="2" a="1"/>
  <c r="Q37" i="2" s="1"/>
  <c r="Q38" i="2" a="1"/>
  <c r="Q38" i="2" s="1"/>
  <c r="Q39" i="2" a="1"/>
  <c r="Q39" i="2" s="1"/>
  <c r="Q40" i="2" a="1"/>
  <c r="Q40" i="2" s="1"/>
  <c r="Q41" i="2" a="1"/>
  <c r="Q41" i="2" s="1"/>
  <c r="Q42" i="2" a="1"/>
  <c r="Q42" i="2" s="1"/>
  <c r="Q43" i="2" a="1"/>
  <c r="Q43" i="2" s="1"/>
  <c r="Q44" i="2" a="1"/>
  <c r="Q44" i="2" s="1"/>
  <c r="Q45" i="2" a="1"/>
  <c r="Q45" i="2" s="1"/>
  <c r="Q46" i="2" a="1"/>
  <c r="Q46" i="2" s="1"/>
  <c r="Q47" i="2" a="1"/>
  <c r="Q47" i="2" s="1"/>
  <c r="Q48" i="2" a="1"/>
  <c r="Q48" i="2" s="1"/>
  <c r="Q49" i="2" a="1"/>
  <c r="Q49" i="2" s="1"/>
  <c r="Q50" i="2" a="1"/>
  <c r="Q50" i="2" s="1"/>
  <c r="Q51" i="2" a="1"/>
  <c r="Q51" i="2" s="1"/>
  <c r="Q52" i="2" a="1"/>
  <c r="Q52" i="2" s="1"/>
  <c r="Q53" i="2" a="1"/>
  <c r="Q53" i="2" s="1"/>
  <c r="Q54" i="2" a="1"/>
  <c r="Q54" i="2" s="1"/>
  <c r="Q55" i="2" a="1"/>
  <c r="Q55" i="2" s="1"/>
  <c r="Q56" i="2" a="1"/>
  <c r="Q56" i="2" s="1"/>
  <c r="Q57" i="2" a="1"/>
  <c r="Q57" i="2" s="1"/>
  <c r="Q58" i="2" a="1"/>
  <c r="Q58" i="2" s="1"/>
  <c r="Q59" i="2" a="1"/>
  <c r="Q59" i="2" s="1"/>
  <c r="Q60" i="2" a="1"/>
  <c r="Q60" i="2" s="1"/>
  <c r="Q61" i="2" a="1"/>
  <c r="Q61" i="2" s="1"/>
  <c r="Q62" i="2" a="1"/>
  <c r="Q62" i="2" s="1"/>
  <c r="Q63" i="2" a="1"/>
  <c r="Q63" i="2" s="1"/>
  <c r="Q64" i="2" a="1"/>
  <c r="Q64" i="2" s="1"/>
  <c r="Q65" i="2" a="1"/>
  <c r="Q65" i="2" s="1"/>
  <c r="Q66" i="2" a="1"/>
  <c r="Q66" i="2" s="1"/>
  <c r="Q67" i="2" a="1"/>
  <c r="Q67" i="2" s="1"/>
  <c r="Q68" i="2" a="1"/>
  <c r="Q68" i="2" s="1"/>
  <c r="Q69" i="2" a="1"/>
  <c r="Q69" i="2" s="1"/>
  <c r="Q70" i="2" a="1"/>
  <c r="Q70" i="2" s="1"/>
  <c r="Q71" i="2" a="1"/>
  <c r="Q71" i="2" s="1"/>
  <c r="Q72" i="2" a="1"/>
  <c r="Q72" i="2" s="1"/>
  <c r="Q73" i="2" a="1"/>
  <c r="Q73" i="2" s="1"/>
  <c r="Q74" i="2" a="1"/>
  <c r="Q74" i="2" s="1"/>
  <c r="Q75" i="2" a="1"/>
  <c r="Q75" i="2" s="1"/>
  <c r="Q76" i="2" a="1"/>
  <c r="Q76" i="2" s="1"/>
  <c r="Q77" i="2" a="1"/>
  <c r="Q77" i="2" s="1"/>
  <c r="Q78" i="2" a="1"/>
  <c r="Q78" i="2" s="1"/>
  <c r="Q79" i="2" a="1"/>
  <c r="Q79" i="2" s="1"/>
  <c r="Q80" i="2" a="1"/>
  <c r="Q80" i="2" s="1"/>
  <c r="Q81" i="2" a="1"/>
  <c r="Q81" i="2" s="1"/>
  <c r="Q82" i="2" a="1"/>
  <c r="Q82" i="2" s="1"/>
  <c r="Q83" i="2" a="1"/>
  <c r="Q83" i="2" s="1"/>
  <c r="Q84" i="2" a="1"/>
  <c r="Q84" i="2" s="1"/>
  <c r="Q85" i="2" a="1"/>
  <c r="Q85" i="2" s="1"/>
  <c r="Q86" i="2" a="1"/>
  <c r="Q86" i="2" s="1"/>
  <c r="Q87" i="2" a="1"/>
  <c r="Q87" i="2" s="1"/>
  <c r="Q88" i="2" a="1"/>
  <c r="Q88" i="2" s="1"/>
  <c r="Q89" i="2" a="1"/>
  <c r="Q89" i="2" s="1"/>
  <c r="Q90" i="2" a="1"/>
  <c r="Q90" i="2" s="1"/>
  <c r="Q91" i="2" a="1"/>
  <c r="Q91" i="2" s="1"/>
  <c r="Q92" i="2" a="1"/>
  <c r="Q92" i="2" s="1"/>
  <c r="Q93" i="2" a="1"/>
  <c r="Q93" i="2" s="1"/>
  <c r="Q94" i="2" a="1"/>
  <c r="Q94" i="2" s="1"/>
  <c r="Q95" i="2" a="1"/>
  <c r="Q95" i="2" s="1"/>
  <c r="Q96" i="2" a="1"/>
  <c r="Q96" i="2" s="1"/>
  <c r="Q97" i="2" a="1"/>
  <c r="Q97" i="2" s="1"/>
  <c r="Q98" i="2" a="1"/>
  <c r="Q98" i="2" s="1"/>
  <c r="Q99" i="2" a="1"/>
  <c r="Q99" i="2" s="1"/>
  <c r="Q100" i="2" a="1"/>
  <c r="Q100" i="2" s="1"/>
  <c r="Q101" i="2" a="1"/>
  <c r="Q101" i="2" s="1"/>
  <c r="Q102" i="2" a="1"/>
  <c r="Q102" i="2" s="1"/>
  <c r="Q103" i="2" a="1"/>
  <c r="Q103" i="2" s="1"/>
  <c r="Q104" i="2" a="1"/>
  <c r="Q104" i="2" s="1"/>
  <c r="Q105" i="2" a="1"/>
  <c r="Q105" i="2" s="1"/>
  <c r="Q106" i="2" a="1"/>
  <c r="Q106" i="2" s="1"/>
  <c r="Q107" i="2" a="1"/>
  <c r="Q107" i="2" s="1"/>
  <c r="Q108" i="2" a="1"/>
  <c r="Q108" i="2" s="1"/>
  <c r="Q109" i="2" a="1"/>
  <c r="Q109" i="2" s="1"/>
  <c r="Q110" i="2" a="1"/>
  <c r="Q110" i="2" s="1"/>
  <c r="Q111" i="2" a="1"/>
  <c r="Q111" i="2" s="1"/>
  <c r="Q112" i="2" a="1"/>
  <c r="Q112" i="2" s="1"/>
  <c r="Q113" i="2" a="1"/>
  <c r="Q113" i="2" s="1"/>
  <c r="Q114" i="2" a="1"/>
  <c r="Q114" i="2" s="1"/>
  <c r="Q115" i="2" a="1"/>
  <c r="Q115" i="2" s="1"/>
  <c r="Q116" i="2" a="1"/>
  <c r="Q116" i="2" s="1"/>
  <c r="Q117" i="2" a="1"/>
  <c r="Q117" i="2" s="1"/>
  <c r="Q118" i="2" a="1"/>
  <c r="Q118" i="2" s="1"/>
  <c r="Q119" i="2" a="1"/>
  <c r="Q119" i="2" s="1"/>
  <c r="Q120" i="2" a="1"/>
  <c r="Q120" i="2" s="1"/>
  <c r="Q121" i="2" a="1"/>
  <c r="Q121" i="2" s="1"/>
  <c r="Q122" i="2" a="1"/>
  <c r="Q122" i="2" s="1"/>
  <c r="Q123" i="2" a="1"/>
  <c r="Q123" i="2" s="1"/>
  <c r="Q124" i="2" a="1"/>
  <c r="Q124" i="2" s="1"/>
  <c r="Q125" i="2" a="1"/>
  <c r="Q125" i="2" s="1"/>
  <c r="Q126" i="2" a="1"/>
  <c r="Q126" i="2" s="1"/>
  <c r="Q127" i="2" a="1"/>
  <c r="Q127" i="2" s="1"/>
  <c r="Q128" i="2" a="1"/>
  <c r="Q128" i="2" s="1"/>
  <c r="Q129" i="2" a="1"/>
  <c r="Q129" i="2" s="1"/>
  <c r="Q130" i="2" a="1"/>
  <c r="Q130" i="2" s="1"/>
  <c r="Q131" i="2" a="1"/>
  <c r="Q131" i="2" s="1"/>
  <c r="Q132" i="2" a="1"/>
  <c r="Q132" i="2" s="1"/>
  <c r="Q133" i="2" a="1"/>
  <c r="Q133" i="2" s="1"/>
  <c r="Q134" i="2" a="1"/>
  <c r="Q134" i="2" s="1"/>
  <c r="Q135" i="2" a="1"/>
  <c r="Q135" i="2" s="1"/>
  <c r="Q136" i="2" a="1"/>
  <c r="Q136" i="2" s="1"/>
  <c r="Q137" i="2" a="1"/>
  <c r="Q137" i="2" s="1"/>
  <c r="Q138" i="2" a="1"/>
  <c r="Q138" i="2" s="1"/>
  <c r="Q139" i="2" a="1"/>
  <c r="Q139" i="2" s="1"/>
  <c r="Q140" i="2" a="1"/>
  <c r="Q140" i="2" s="1"/>
  <c r="Q141" i="2" a="1"/>
  <c r="Q141" i="2" s="1"/>
  <c r="Q142" i="2" a="1"/>
  <c r="Q142" i="2" s="1"/>
  <c r="Q143" i="2" a="1"/>
  <c r="Q143" i="2" s="1"/>
  <c r="Q144" i="2" a="1"/>
  <c r="Q144" i="2" s="1"/>
  <c r="Q145" i="2" a="1"/>
  <c r="Q145" i="2" s="1"/>
  <c r="Q146" i="2" a="1"/>
  <c r="Q146" i="2" s="1"/>
  <c r="Q147" i="2" a="1"/>
  <c r="Q147" i="2" s="1"/>
  <c r="Q148" i="2" a="1"/>
  <c r="Q148" i="2" s="1"/>
  <c r="Q149" i="2" a="1"/>
  <c r="Q149" i="2" s="1"/>
  <c r="Q150" i="2" a="1"/>
  <c r="Q150" i="2" s="1"/>
  <c r="Q151" i="2" a="1"/>
  <c r="Q151" i="2" s="1"/>
  <c r="Q152" i="2" a="1"/>
  <c r="Q152" i="2" s="1"/>
  <c r="Q153" i="2" a="1"/>
  <c r="Q153" i="2" s="1"/>
  <c r="Q154" i="2" a="1"/>
  <c r="Q154" i="2" s="1"/>
  <c r="Q155" i="2" a="1"/>
  <c r="Q155" i="2" s="1"/>
  <c r="Q156" i="2" a="1"/>
  <c r="Q156" i="2" s="1"/>
  <c r="Q157" i="2" a="1"/>
  <c r="Q157" i="2" s="1"/>
  <c r="Q158" i="2" a="1"/>
  <c r="Q158" i="2" s="1"/>
  <c r="Q159" i="2" a="1"/>
  <c r="Q159" i="2" s="1"/>
  <c r="Q160" i="2" a="1"/>
  <c r="Q160" i="2" s="1"/>
  <c r="Q161" i="2" a="1"/>
  <c r="Q161" i="2" s="1"/>
  <c r="Q162" i="2" a="1"/>
  <c r="Q162" i="2" s="1"/>
  <c r="Q163" i="2" a="1"/>
  <c r="Q163" i="2" s="1"/>
  <c r="Q164" i="2" a="1"/>
  <c r="Q164" i="2" s="1"/>
  <c r="Q165" i="2" a="1"/>
  <c r="Q165" i="2" s="1"/>
  <c r="Q166" i="2" a="1"/>
  <c r="Q166" i="2" s="1"/>
  <c r="Q167" i="2" a="1"/>
  <c r="Q167" i="2" s="1"/>
  <c r="Q168" i="2" a="1"/>
  <c r="Q168" i="2" s="1"/>
  <c r="Q169" i="2" a="1"/>
  <c r="Q169" i="2" s="1"/>
  <c r="Q170" i="2" a="1"/>
  <c r="Q170" i="2" s="1"/>
  <c r="Q171" i="2" a="1"/>
  <c r="Q171" i="2" s="1"/>
  <c r="Q172" i="2" a="1"/>
  <c r="Q172" i="2" s="1"/>
  <c r="Q173" i="2" a="1"/>
  <c r="Q173" i="2" s="1"/>
  <c r="Q174" i="2" a="1"/>
  <c r="Q174" i="2" s="1"/>
  <c r="Q175" i="2" a="1"/>
  <c r="Q175" i="2" s="1"/>
  <c r="Q176" i="2" a="1"/>
  <c r="Q176" i="2" s="1"/>
  <c r="Q177" i="2" a="1"/>
  <c r="Q177" i="2" s="1"/>
  <c r="Q178" i="2" a="1"/>
  <c r="Q178" i="2" s="1"/>
  <c r="Q179" i="2" a="1"/>
  <c r="Q179" i="2" s="1"/>
  <c r="Q180" i="2" a="1"/>
  <c r="Q180" i="2" s="1"/>
  <c r="Q181" i="2" a="1"/>
  <c r="Q181" i="2" s="1"/>
  <c r="Q182" i="2" a="1"/>
  <c r="Q182" i="2" s="1"/>
  <c r="Q183" i="2" a="1"/>
  <c r="Q183" i="2" s="1"/>
  <c r="Q184" i="2" a="1"/>
  <c r="Q184" i="2" s="1"/>
  <c r="Q185" i="2" a="1"/>
  <c r="Q185" i="2" s="1"/>
  <c r="Q186" i="2" a="1"/>
  <c r="Q186" i="2" s="1"/>
  <c r="Q187" i="2" a="1"/>
  <c r="Q187" i="2" s="1"/>
  <c r="Q188" i="2" a="1"/>
  <c r="Q188" i="2" s="1"/>
  <c r="Q189" i="2" a="1"/>
  <c r="Q189" i="2" s="1"/>
  <c r="Q190" i="2" a="1"/>
  <c r="Q190" i="2" s="1"/>
  <c r="Q191" i="2" a="1"/>
  <c r="Q191" i="2" s="1"/>
  <c r="Q192" i="2" a="1"/>
  <c r="Q192" i="2" s="1"/>
  <c r="Q193" i="2" a="1"/>
  <c r="Q193" i="2" s="1"/>
  <c r="Q194" i="2" a="1"/>
  <c r="Q194" i="2" s="1"/>
  <c r="Q195" i="2" a="1"/>
  <c r="Q195" i="2" s="1"/>
  <c r="Q196" i="2" a="1"/>
  <c r="Q196" i="2" s="1"/>
  <c r="Q197" i="2" a="1"/>
  <c r="Q197" i="2" s="1"/>
  <c r="Q198" i="2" a="1"/>
  <c r="Q198" i="2" s="1"/>
  <c r="Q199" i="2" a="1"/>
  <c r="Q199" i="2" s="1"/>
  <c r="Q200" i="2" a="1"/>
  <c r="Q200" i="2" s="1"/>
  <c r="Q201" i="2" a="1"/>
  <c r="Q201" i="2" s="1"/>
  <c r="Q202" i="2" a="1"/>
  <c r="Q202" i="2" s="1"/>
  <c r="Q203" i="2" a="1"/>
  <c r="Q203" i="2" s="1"/>
  <c r="Q204" i="2" a="1"/>
  <c r="Q204" i="2" s="1"/>
  <c r="Q205" i="2" a="1"/>
  <c r="Q205" i="2" s="1"/>
  <c r="Q206" i="2" a="1"/>
  <c r="Q206" i="2" s="1"/>
  <c r="Q207" i="2" a="1"/>
  <c r="Q207" i="2" s="1"/>
  <c r="Q208" i="2" a="1"/>
  <c r="Q208" i="2" s="1"/>
  <c r="Q209" i="2" a="1"/>
  <c r="Q209" i="2" s="1"/>
  <c r="Q210" i="2" a="1"/>
  <c r="Q210" i="2" s="1"/>
  <c r="Q211" i="2" a="1"/>
  <c r="Q211" i="2" s="1"/>
  <c r="Q212" i="2" a="1"/>
  <c r="Q212" i="2" s="1"/>
  <c r="Q213" i="2" a="1"/>
  <c r="Q213" i="2" s="1"/>
  <c r="Q214" i="2" a="1"/>
  <c r="Q214" i="2" s="1"/>
  <c r="Q215" i="2" a="1"/>
  <c r="Q215" i="2" s="1"/>
  <c r="Q216" i="2" a="1"/>
  <c r="Q216" i="2" s="1"/>
  <c r="Q217" i="2" a="1"/>
  <c r="Q217" i="2" s="1"/>
  <c r="Q218" i="2" a="1"/>
  <c r="Q218" i="2" s="1"/>
  <c r="Q219" i="2" a="1"/>
  <c r="Q219" i="2" s="1"/>
  <c r="Q220" i="2" a="1"/>
  <c r="Q220" i="2" s="1"/>
  <c r="Q221" i="2" a="1"/>
  <c r="Q221" i="2" s="1"/>
  <c r="Q222" i="2" a="1"/>
  <c r="Q222" i="2" s="1"/>
  <c r="Q223" i="2" a="1"/>
  <c r="Q223" i="2" s="1"/>
  <c r="Q224" i="2" a="1"/>
  <c r="Q224" i="2" s="1"/>
  <c r="Q225" i="2" a="1"/>
  <c r="Q225" i="2" s="1"/>
  <c r="Q226" i="2" a="1"/>
  <c r="Q226" i="2" s="1"/>
  <c r="Q227" i="2" a="1"/>
  <c r="Q227" i="2" s="1"/>
  <c r="Q228" i="2" a="1"/>
  <c r="Q228" i="2" s="1"/>
  <c r="Q229" i="2" a="1"/>
  <c r="Q229" i="2" s="1"/>
  <c r="Q230" i="2" a="1"/>
  <c r="Q230" i="2" s="1"/>
  <c r="Q231" i="2" a="1"/>
  <c r="Q231" i="2" s="1"/>
  <c r="Q232" i="2" a="1"/>
  <c r="Q232" i="2" s="1"/>
  <c r="Q233" i="2" a="1"/>
  <c r="Q233" i="2" s="1"/>
  <c r="Q234" i="2" a="1"/>
  <c r="Q234" i="2" s="1"/>
  <c r="Q235" i="2" a="1"/>
  <c r="Q235" i="2" s="1"/>
  <c r="Q236" i="2" a="1"/>
  <c r="Q236" i="2" s="1"/>
  <c r="Q237" i="2" a="1"/>
  <c r="Q237" i="2" s="1"/>
  <c r="Q238" i="2" a="1"/>
  <c r="Q238" i="2" s="1"/>
  <c r="Q239" i="2" a="1"/>
  <c r="Q239" i="2" s="1"/>
  <c r="Q240" i="2" a="1"/>
  <c r="Q240" i="2" s="1"/>
  <c r="Q241" i="2" a="1"/>
  <c r="Q241" i="2" s="1"/>
  <c r="Q242" i="2" a="1"/>
  <c r="Q242" i="2" s="1"/>
  <c r="Q243" i="2" a="1"/>
  <c r="Q243" i="2" s="1"/>
  <c r="Q244" i="2" a="1"/>
  <c r="Q244" i="2" s="1"/>
  <c r="Q245" i="2" a="1"/>
  <c r="Q245" i="2" s="1"/>
  <c r="Q246" i="2" a="1"/>
  <c r="Q246" i="2" s="1"/>
  <c r="Q247" i="2" a="1"/>
  <c r="Q247" i="2" s="1"/>
  <c r="Q248" i="2" a="1"/>
  <c r="Q248" i="2" s="1"/>
  <c r="Q249" i="2" a="1"/>
  <c r="Q249" i="2" s="1"/>
  <c r="Q250" i="2" a="1"/>
  <c r="Q250" i="2" s="1"/>
  <c r="Q251" i="2" a="1"/>
  <c r="Q251" i="2" s="1"/>
  <c r="Q252" i="2" a="1"/>
  <c r="Q252" i="2" s="1"/>
  <c r="Q253" i="2" a="1"/>
  <c r="Q253" i="2" s="1"/>
  <c r="Q254" i="2" a="1"/>
  <c r="Q254" i="2" s="1"/>
  <c r="Q255" i="2" a="1"/>
  <c r="Q255" i="2" s="1"/>
  <c r="Q256" i="2" a="1"/>
  <c r="Q256" i="2" s="1"/>
  <c r="Q257" i="2" a="1"/>
  <c r="Q257" i="2" s="1"/>
  <c r="Q258" i="2" a="1"/>
  <c r="Q258" i="2" s="1"/>
  <c r="Q259" i="2" a="1"/>
  <c r="Q259" i="2" s="1"/>
  <c r="Q260" i="2" a="1"/>
  <c r="Q260" i="2" s="1"/>
  <c r="Q261" i="2" a="1"/>
  <c r="Q261" i="2" s="1"/>
  <c r="Q262" i="2" a="1"/>
  <c r="Q262" i="2" s="1"/>
  <c r="Q263" i="2" a="1"/>
  <c r="Q263" i="2" s="1"/>
  <c r="Q264" i="2" a="1"/>
  <c r="Q264" i="2" s="1"/>
  <c r="Q265" i="2" a="1"/>
  <c r="Q265" i="2" s="1"/>
  <c r="Q266" i="2" a="1"/>
  <c r="Q266" i="2" s="1"/>
  <c r="Q267" i="2" a="1"/>
  <c r="Q267" i="2" s="1"/>
  <c r="Q268" i="2" a="1"/>
  <c r="Q268" i="2" s="1"/>
  <c r="Q269" i="2" a="1"/>
  <c r="Q269" i="2" s="1"/>
  <c r="Q270" i="2" a="1"/>
  <c r="Q270" i="2" s="1"/>
  <c r="Q271" i="2" a="1"/>
  <c r="Q271" i="2" s="1"/>
  <c r="Q272" i="2" a="1"/>
  <c r="Q272" i="2" s="1"/>
  <c r="Q273" i="2" a="1"/>
  <c r="Q273" i="2" s="1"/>
  <c r="Q274" i="2" a="1"/>
  <c r="Q274" i="2" s="1"/>
  <c r="Q275" i="2" a="1"/>
  <c r="Q275" i="2" s="1"/>
  <c r="Q276" i="2" a="1"/>
  <c r="Q276" i="2" s="1"/>
  <c r="Q277" i="2" a="1"/>
  <c r="Q277" i="2" s="1"/>
  <c r="Q278" i="2" a="1"/>
  <c r="Q278" i="2" s="1"/>
  <c r="Q279" i="2" a="1"/>
  <c r="Q279" i="2" s="1"/>
  <c r="Q280" i="2" a="1"/>
  <c r="Q280" i="2" s="1"/>
  <c r="Q281" i="2" a="1"/>
  <c r="Q281" i="2" s="1"/>
  <c r="Q282" i="2" a="1"/>
  <c r="Q282" i="2" s="1"/>
  <c r="Q283" i="2" a="1"/>
  <c r="Q283" i="2" s="1"/>
  <c r="Q284" i="2" a="1"/>
  <c r="Q284" i="2" s="1"/>
  <c r="Q285" i="2" a="1"/>
  <c r="Q285" i="2" s="1"/>
  <c r="Q286" i="2" a="1"/>
  <c r="Q286" i="2" s="1"/>
  <c r="Q287" i="2" a="1"/>
  <c r="Q287" i="2" s="1"/>
  <c r="Q288" i="2" a="1"/>
  <c r="Q288" i="2" s="1"/>
  <c r="Q289" i="2" a="1"/>
  <c r="Q289" i="2" s="1"/>
  <c r="Q290" i="2" a="1"/>
  <c r="Q290" i="2" s="1"/>
  <c r="Q291" i="2" a="1"/>
  <c r="Q291" i="2" s="1"/>
  <c r="Q292" i="2" a="1"/>
  <c r="Q292" i="2" s="1"/>
  <c r="Q293" i="2" a="1"/>
  <c r="Q293" i="2" s="1"/>
  <c r="Q294" i="2" a="1"/>
  <c r="Q294" i="2" s="1"/>
  <c r="Q295" i="2" a="1"/>
  <c r="Q295" i="2" s="1"/>
  <c r="Q296" i="2" a="1"/>
  <c r="Q296" i="2" s="1"/>
  <c r="Q297" i="2" a="1"/>
  <c r="Q297" i="2" s="1"/>
  <c r="Q298" i="2" a="1"/>
  <c r="Q298" i="2" s="1"/>
  <c r="Q299" i="2" a="1"/>
  <c r="Q299" i="2" s="1"/>
  <c r="Q300" i="2" a="1"/>
  <c r="Q300" i="2" s="1"/>
  <c r="Q301" i="2" a="1"/>
  <c r="Q301" i="2" s="1"/>
  <c r="Q302" i="2" a="1"/>
  <c r="Q302" i="2" s="1"/>
  <c r="Q303" i="2" a="1"/>
  <c r="Q303" i="2" s="1"/>
  <c r="Q304" i="2" a="1"/>
  <c r="Q304" i="2" s="1"/>
  <c r="Q305" i="2" a="1"/>
  <c r="Q305" i="2" s="1"/>
  <c r="Q306" i="2" a="1"/>
  <c r="Q306" i="2" s="1"/>
  <c r="Q307" i="2" a="1"/>
  <c r="Q307" i="2" s="1"/>
  <c r="Q308" i="2" a="1"/>
  <c r="Q308" i="2" s="1"/>
  <c r="Q309" i="2" a="1"/>
  <c r="Q309" i="2"/>
  <c r="Q310" i="2" a="1"/>
  <c r="Q310" i="2" s="1"/>
  <c r="Q311" i="2" a="1"/>
  <c r="Q311" i="2" s="1"/>
  <c r="Q312" i="2" a="1"/>
  <c r="Q312" i="2" s="1"/>
  <c r="Q313" i="2" a="1"/>
  <c r="Q313" i="2" s="1"/>
  <c r="Q314" i="2" a="1"/>
  <c r="Q314" i="2" s="1"/>
  <c r="Q315" i="2" a="1"/>
  <c r="Q315" i="2" s="1"/>
  <c r="Q316" i="2" a="1"/>
  <c r="Q316" i="2" s="1"/>
  <c r="Q317" i="2" a="1"/>
  <c r="Q317" i="2" s="1"/>
  <c r="Q318" i="2" a="1"/>
  <c r="Q318" i="2" s="1"/>
  <c r="Q319" i="2" a="1"/>
  <c r="Q319" i="2" s="1"/>
  <c r="Q320" i="2" a="1"/>
  <c r="Q320" i="2" s="1"/>
  <c r="Q321" i="2" a="1"/>
  <c r="Q321" i="2" s="1"/>
  <c r="Q322" i="2" a="1"/>
  <c r="Q322" i="2" s="1"/>
  <c r="Q323" i="2" a="1"/>
  <c r="Q323" i="2" s="1"/>
  <c r="Q324" i="2" a="1"/>
  <c r="Q324" i="2" s="1"/>
  <c r="Q325" i="2" a="1"/>
  <c r="Q325" i="2" s="1"/>
  <c r="Q326" i="2" a="1"/>
  <c r="Q326" i="2" s="1"/>
  <c r="Q327" i="2" a="1"/>
  <c r="Q327" i="2" s="1"/>
  <c r="Q328" i="2" a="1"/>
  <c r="Q328" i="2" s="1"/>
  <c r="Q329" i="2" a="1"/>
  <c r="Q329" i="2" s="1"/>
  <c r="Q330" i="2" a="1"/>
  <c r="Q330" i="2" s="1"/>
  <c r="Q331" i="2" a="1"/>
  <c r="Q331" i="2" s="1"/>
  <c r="Q332" i="2" a="1"/>
  <c r="Q332" i="2" s="1"/>
  <c r="Q333" i="2" a="1"/>
  <c r="Q333" i="2" s="1"/>
  <c r="Q334" i="2" a="1"/>
  <c r="Q334" i="2" s="1"/>
  <c r="Q335" i="2" a="1"/>
  <c r="Q335" i="2" s="1"/>
  <c r="Q336" i="2" a="1"/>
  <c r="Q336" i="2" s="1"/>
  <c r="Q337" i="2" a="1"/>
  <c r="Q337" i="2" s="1"/>
  <c r="Q338" i="2" a="1"/>
  <c r="Q338" i="2" s="1"/>
  <c r="Q339" i="2" a="1"/>
  <c r="Q339" i="2" s="1"/>
  <c r="Q340" i="2" a="1"/>
  <c r="Q340" i="2" s="1"/>
  <c r="Q341" i="2" a="1"/>
  <c r="Q341" i="2" s="1"/>
  <c r="Q342" i="2" a="1"/>
  <c r="Q342" i="2" s="1"/>
  <c r="Q343" i="2" a="1"/>
  <c r="Q343" i="2" s="1"/>
  <c r="Q344" i="2" a="1"/>
  <c r="Q344" i="2" s="1"/>
  <c r="Q345" i="2" a="1"/>
  <c r="Q345" i="2" s="1"/>
  <c r="Q346" i="2" a="1"/>
  <c r="Q346" i="2" s="1"/>
  <c r="Q347" i="2" a="1"/>
  <c r="Q347" i="2" s="1"/>
  <c r="Q348" i="2" a="1"/>
  <c r="Q348" i="2" s="1"/>
  <c r="Q349" i="2" a="1"/>
  <c r="Q349" i="2" s="1"/>
  <c r="Q350" i="2" a="1"/>
  <c r="Q350" i="2" s="1"/>
  <c r="Q351" i="2" a="1"/>
  <c r="Q351" i="2" s="1"/>
  <c r="Q352" i="2" a="1"/>
  <c r="Q352" i="2" s="1"/>
  <c r="Q353" i="2" a="1"/>
  <c r="Q353" i="2" s="1"/>
  <c r="Q354" i="2" a="1"/>
  <c r="Q354" i="2" s="1"/>
  <c r="Q355" i="2" a="1"/>
  <c r="Q355" i="2" s="1"/>
  <c r="Q356" i="2" a="1"/>
  <c r="Q356" i="2" s="1"/>
  <c r="Q357" i="2" a="1"/>
  <c r="Q357" i="2" s="1"/>
  <c r="Q358" i="2" a="1"/>
  <c r="Q358" i="2" s="1"/>
  <c r="Q359" i="2" a="1"/>
  <c r="Q359" i="2" s="1"/>
  <c r="Q360" i="2" a="1"/>
  <c r="Q360" i="2" s="1"/>
  <c r="Q361" i="2" a="1"/>
  <c r="Q361" i="2" s="1"/>
  <c r="Q362" i="2" a="1"/>
  <c r="Q362" i="2" s="1"/>
  <c r="Q363" i="2" a="1"/>
  <c r="Q363" i="2" s="1"/>
  <c r="Q364" i="2" a="1"/>
  <c r="Q364" i="2" s="1"/>
  <c r="Q365" i="2" a="1"/>
  <c r="Q365" i="2" s="1"/>
  <c r="Q366" i="2" a="1"/>
  <c r="Q366" i="2" s="1"/>
  <c r="Q367" i="2" a="1"/>
  <c r="Q367" i="2" s="1"/>
  <c r="Q368" i="2" a="1"/>
  <c r="Q368" i="2" s="1"/>
  <c r="Q369" i="2" a="1"/>
  <c r="Q369" i="2" s="1"/>
  <c r="Q370" i="2" a="1"/>
  <c r="Q370" i="2" s="1"/>
  <c r="Q371" i="2" a="1"/>
  <c r="Q371" i="2" s="1"/>
  <c r="Q372" i="2" a="1"/>
  <c r="Q372" i="2" s="1"/>
  <c r="Q373" i="2" a="1"/>
  <c r="Q373" i="2" s="1"/>
  <c r="Q374" i="2" a="1"/>
  <c r="Q374" i="2" s="1"/>
  <c r="Q375" i="2" a="1"/>
  <c r="Q375" i="2" s="1"/>
  <c r="Q376" i="2" a="1"/>
  <c r="Q376" i="2" s="1"/>
  <c r="Q377" i="2" a="1"/>
  <c r="Q377" i="2" s="1"/>
  <c r="Q378" i="2" a="1"/>
  <c r="Q378" i="2" s="1"/>
  <c r="Q379" i="2" a="1"/>
  <c r="Q379" i="2" s="1"/>
  <c r="Q380" i="2" a="1"/>
  <c r="Q380" i="2" s="1"/>
  <c r="Q381" i="2" a="1"/>
  <c r="Q381" i="2" s="1"/>
  <c r="Q382" i="2" a="1"/>
  <c r="Q382" i="2" s="1"/>
  <c r="Q383" i="2" a="1"/>
  <c r="Q383" i="2" s="1"/>
  <c r="Q384" i="2" a="1"/>
  <c r="Q384" i="2" s="1"/>
  <c r="Q385" i="2" a="1"/>
  <c r="Q385" i="2" s="1"/>
  <c r="Q386" i="2" a="1"/>
  <c r="Q386" i="2" s="1"/>
  <c r="Q387" i="2" a="1"/>
  <c r="Q387" i="2" s="1"/>
  <c r="Q388" i="2" a="1"/>
  <c r="Q388" i="2" s="1"/>
  <c r="Q389" i="2" a="1"/>
  <c r="Q389" i="2" s="1"/>
  <c r="Q390" i="2" a="1"/>
  <c r="Q390" i="2" s="1"/>
  <c r="Q391" i="2" a="1"/>
  <c r="Q391" i="2" s="1"/>
  <c r="I2" i="2" a="1"/>
  <c r="I2" i="2" s="1"/>
  <c r="I3" i="2" a="1"/>
  <c r="I3" i="2" s="1"/>
  <c r="I4" i="2" a="1"/>
  <c r="I4" i="2" s="1"/>
  <c r="I5" i="2" a="1"/>
  <c r="I5" i="2" s="1"/>
  <c r="I6" i="2" a="1"/>
  <c r="I6" i="2"/>
  <c r="I7" i="2" a="1"/>
  <c r="I7" i="2" s="1"/>
  <c r="I8" i="2" a="1"/>
  <c r="I8" i="2" s="1"/>
  <c r="I9" i="2" a="1"/>
  <c r="I9" i="2" s="1"/>
  <c r="I10" i="2" a="1"/>
  <c r="I10" i="2" s="1"/>
  <c r="I11" i="2" a="1"/>
  <c r="I11" i="2" s="1"/>
  <c r="I12" i="2" a="1"/>
  <c r="I12" i="2" s="1"/>
  <c r="I13" i="2" a="1"/>
  <c r="I13" i="2" s="1"/>
  <c r="I14" i="2" a="1"/>
  <c r="I14" i="2" s="1"/>
  <c r="I15" i="2" a="1"/>
  <c r="I15" i="2" s="1"/>
  <c r="I16" i="2" a="1"/>
  <c r="I16" i="2" s="1"/>
  <c r="I17" i="2" a="1"/>
  <c r="I17" i="2" s="1"/>
  <c r="I18" i="2" a="1"/>
  <c r="I18" i="2" s="1"/>
  <c r="I19" i="2" a="1"/>
  <c r="I19" i="2" s="1"/>
  <c r="I20" i="2" a="1"/>
  <c r="I20" i="2" s="1"/>
  <c r="I21" i="2" a="1"/>
  <c r="I21" i="2" s="1"/>
  <c r="I22" i="2" a="1"/>
  <c r="I22" i="2" s="1"/>
  <c r="I23" i="2" a="1"/>
  <c r="I23" i="2" s="1"/>
  <c r="I24" i="2" a="1"/>
  <c r="I24" i="2" s="1"/>
  <c r="I25" i="2" a="1"/>
  <c r="I25" i="2" s="1"/>
  <c r="I26" i="2" a="1"/>
  <c r="I26" i="2" s="1"/>
  <c r="I27" i="2" a="1"/>
  <c r="I27" i="2" s="1"/>
  <c r="I28" i="2" a="1"/>
  <c r="I28" i="2" s="1"/>
  <c r="I29" i="2" a="1"/>
  <c r="I29" i="2" s="1"/>
  <c r="I30" i="2" a="1"/>
  <c r="I30" i="2" s="1"/>
  <c r="I31" i="2" a="1"/>
  <c r="I31" i="2" s="1"/>
  <c r="I32" i="2" a="1"/>
  <c r="I32" i="2" s="1"/>
  <c r="I33" i="2" a="1"/>
  <c r="I33" i="2" s="1"/>
  <c r="I34" i="2" a="1"/>
  <c r="I34" i="2" s="1"/>
  <c r="I35" i="2" a="1"/>
  <c r="I35" i="2" s="1"/>
  <c r="I36" i="2" a="1"/>
  <c r="I36" i="2" s="1"/>
  <c r="I37" i="2" a="1"/>
  <c r="I37" i="2" s="1"/>
  <c r="I38" i="2" a="1"/>
  <c r="I38" i="2" s="1"/>
  <c r="I39" i="2" a="1"/>
  <c r="I39" i="2" s="1"/>
  <c r="I40" i="2" a="1"/>
  <c r="I40" i="2" s="1"/>
  <c r="I41" i="2" a="1"/>
  <c r="I41" i="2" s="1"/>
  <c r="I42" i="2" a="1"/>
  <c r="I42" i="2" s="1"/>
  <c r="I43" i="2" a="1"/>
  <c r="I43" i="2" s="1"/>
  <c r="I44" i="2" a="1"/>
  <c r="I44" i="2" s="1"/>
  <c r="I45" i="2" a="1"/>
  <c r="I45" i="2" s="1"/>
  <c r="I46" i="2" a="1"/>
  <c r="I46" i="2" s="1"/>
  <c r="I47" i="2" a="1"/>
  <c r="I47" i="2" s="1"/>
  <c r="I48" i="2" a="1"/>
  <c r="I48" i="2" s="1"/>
  <c r="I49" i="2" a="1"/>
  <c r="I49" i="2" s="1"/>
  <c r="I50" i="2" a="1"/>
  <c r="I50" i="2" s="1"/>
  <c r="I51" i="2" a="1"/>
  <c r="I51" i="2" s="1"/>
  <c r="I52" i="2" a="1"/>
  <c r="I52" i="2" s="1"/>
  <c r="I53" i="2" a="1"/>
  <c r="I53" i="2" s="1"/>
  <c r="I54" i="2" a="1"/>
  <c r="I54" i="2" s="1"/>
  <c r="I55" i="2" a="1"/>
  <c r="I55" i="2" s="1"/>
  <c r="I56" i="2" a="1"/>
  <c r="I56" i="2" s="1"/>
  <c r="I57" i="2" a="1"/>
  <c r="I57" i="2" s="1"/>
  <c r="I58" i="2" a="1"/>
  <c r="I58" i="2" s="1"/>
  <c r="I59" i="2" a="1"/>
  <c r="I59" i="2" s="1"/>
  <c r="I60" i="2" a="1"/>
  <c r="I60" i="2" s="1"/>
  <c r="I61" i="2" a="1"/>
  <c r="I61" i="2" s="1"/>
  <c r="I62" i="2" a="1"/>
  <c r="I62" i="2" s="1"/>
  <c r="I63" i="2" a="1"/>
  <c r="I63" i="2" s="1"/>
  <c r="I64" i="2" a="1"/>
  <c r="I64" i="2" s="1"/>
  <c r="I65" i="2" a="1"/>
  <c r="I65" i="2" s="1"/>
  <c r="I66" i="2" a="1"/>
  <c r="I66" i="2" s="1"/>
  <c r="I67" i="2" a="1"/>
  <c r="I67" i="2" s="1"/>
  <c r="I68" i="2" a="1"/>
  <c r="I68" i="2" s="1"/>
  <c r="I69" i="2" a="1"/>
  <c r="I69" i="2" s="1"/>
  <c r="I70" i="2" a="1"/>
  <c r="I70" i="2" s="1"/>
  <c r="I71" i="2" a="1"/>
  <c r="I71" i="2" s="1"/>
  <c r="I72" i="2" a="1"/>
  <c r="I72" i="2" s="1"/>
  <c r="I73" i="2" a="1"/>
  <c r="I73" i="2" s="1"/>
  <c r="I74" i="2" a="1"/>
  <c r="I74" i="2" s="1"/>
  <c r="I75" i="2" a="1"/>
  <c r="I75" i="2" s="1"/>
  <c r="I76" i="2" a="1"/>
  <c r="I76" i="2" s="1"/>
  <c r="I77" i="2" a="1"/>
  <c r="I77" i="2" s="1"/>
  <c r="I78" i="2" a="1"/>
  <c r="I78" i="2" s="1"/>
  <c r="I79" i="2" a="1"/>
  <c r="I79" i="2" s="1"/>
  <c r="I80" i="2" a="1"/>
  <c r="I80" i="2" s="1"/>
  <c r="I81" i="2" a="1"/>
  <c r="I81" i="2" s="1"/>
  <c r="I82" i="2" a="1"/>
  <c r="I82" i="2" s="1"/>
  <c r="I83" i="2" a="1"/>
  <c r="I83" i="2" s="1"/>
  <c r="I84" i="2" a="1"/>
  <c r="I84" i="2" s="1"/>
  <c r="I85" i="2" a="1"/>
  <c r="I85" i="2" s="1"/>
  <c r="I86" i="2" a="1"/>
  <c r="I86" i="2" s="1"/>
  <c r="I87" i="2" a="1"/>
  <c r="I87" i="2" s="1"/>
  <c r="I88" i="2" a="1"/>
  <c r="I88" i="2" s="1"/>
  <c r="I89" i="2" a="1"/>
  <c r="I89" i="2" s="1"/>
  <c r="I90" i="2" a="1"/>
  <c r="I90" i="2" s="1"/>
  <c r="I91" i="2" a="1"/>
  <c r="I91" i="2" s="1"/>
  <c r="I92" i="2" a="1"/>
  <c r="I92" i="2" s="1"/>
  <c r="I93" i="2" a="1"/>
  <c r="I93" i="2" s="1"/>
  <c r="I94" i="2" a="1"/>
  <c r="I94" i="2" s="1"/>
  <c r="I95" i="2" a="1"/>
  <c r="I95" i="2" s="1"/>
  <c r="I96" i="2" a="1"/>
  <c r="I96" i="2" s="1"/>
  <c r="I97" i="2" a="1"/>
  <c r="I97" i="2" s="1"/>
  <c r="I98" i="2" a="1"/>
  <c r="I98" i="2" s="1"/>
  <c r="I99" i="2" a="1"/>
  <c r="I99" i="2" s="1"/>
  <c r="I100" i="2" a="1"/>
  <c r="I100" i="2" s="1"/>
  <c r="I101" i="2" a="1"/>
  <c r="I101" i="2" s="1"/>
  <c r="I102" i="2" a="1"/>
  <c r="I102" i="2" s="1"/>
  <c r="I103" i="2" a="1"/>
  <c r="I103" i="2" s="1"/>
  <c r="I104" i="2" a="1"/>
  <c r="I104" i="2" s="1"/>
  <c r="I105" i="2" a="1"/>
  <c r="I105" i="2" s="1"/>
  <c r="I106" i="2" a="1"/>
  <c r="I106" i="2" s="1"/>
  <c r="I107" i="2" a="1"/>
  <c r="I107" i="2" s="1"/>
  <c r="I108" i="2" a="1"/>
  <c r="I108" i="2" s="1"/>
  <c r="I109" i="2" a="1"/>
  <c r="I109" i="2" s="1"/>
  <c r="I110" i="2" a="1"/>
  <c r="I110" i="2" s="1"/>
  <c r="I111" i="2" a="1"/>
  <c r="I111" i="2" s="1"/>
  <c r="I112" i="2" a="1"/>
  <c r="I112" i="2" s="1"/>
  <c r="I113" i="2" a="1"/>
  <c r="I113" i="2" s="1"/>
  <c r="I114" i="2" a="1"/>
  <c r="I114" i="2" s="1"/>
  <c r="I115" i="2" a="1"/>
  <c r="I115" i="2" s="1"/>
  <c r="I116" i="2" a="1"/>
  <c r="I116" i="2" s="1"/>
  <c r="I117" i="2" a="1"/>
  <c r="I117" i="2"/>
  <c r="I118" i="2" a="1"/>
  <c r="I118" i="2" s="1"/>
  <c r="I119" i="2" a="1"/>
  <c r="I119" i="2" s="1"/>
  <c r="I120" i="2" a="1"/>
  <c r="I120" i="2" s="1"/>
  <c r="I121" i="2" a="1"/>
  <c r="I121" i="2" s="1"/>
  <c r="I122" i="2" a="1"/>
  <c r="I122" i="2" s="1"/>
  <c r="I123" i="2" a="1"/>
  <c r="I123" i="2" s="1"/>
  <c r="I124" i="2" a="1"/>
  <c r="I124" i="2" s="1"/>
  <c r="I125" i="2" a="1"/>
  <c r="I125" i="2" s="1"/>
  <c r="I126" i="2" a="1"/>
  <c r="I126" i="2" s="1"/>
  <c r="I127" i="2" a="1"/>
  <c r="I127" i="2" s="1"/>
  <c r="I128" i="2" a="1"/>
  <c r="I128" i="2" s="1"/>
  <c r="I129" i="2" a="1"/>
  <c r="I129" i="2" s="1"/>
  <c r="I130" i="2" a="1"/>
  <c r="I130" i="2" s="1"/>
  <c r="I131" i="2" a="1"/>
  <c r="I131" i="2" s="1"/>
  <c r="I132" i="2" a="1"/>
  <c r="I132" i="2" s="1"/>
  <c r="I133" i="2" a="1"/>
  <c r="I133" i="2" s="1"/>
  <c r="I134" i="2" a="1"/>
  <c r="I134" i="2" s="1"/>
  <c r="I135" i="2" a="1"/>
  <c r="I135" i="2" s="1"/>
  <c r="I136" i="2" a="1"/>
  <c r="I136" i="2" s="1"/>
  <c r="I137" i="2" a="1"/>
  <c r="I137" i="2" s="1"/>
  <c r="I138" i="2" a="1"/>
  <c r="I138" i="2" s="1"/>
  <c r="I139" i="2" a="1"/>
  <c r="I139" i="2" s="1"/>
  <c r="I140" i="2" a="1"/>
  <c r="I140" i="2" s="1"/>
  <c r="I141" i="2" a="1"/>
  <c r="I141" i="2" s="1"/>
  <c r="I142" i="2" a="1"/>
  <c r="I142" i="2" s="1"/>
  <c r="I143" i="2" a="1"/>
  <c r="I143" i="2" s="1"/>
  <c r="I144" i="2" a="1"/>
  <c r="I144" i="2" s="1"/>
  <c r="I145" i="2" a="1"/>
  <c r="I145" i="2" s="1"/>
  <c r="I146" i="2" a="1"/>
  <c r="I146" i="2" s="1"/>
  <c r="I147" i="2" a="1"/>
  <c r="I147" i="2" s="1"/>
  <c r="I148" i="2" a="1"/>
  <c r="I148" i="2" s="1"/>
  <c r="I149" i="2" a="1"/>
  <c r="I149" i="2" s="1"/>
  <c r="I150" i="2" a="1"/>
  <c r="I150" i="2" s="1"/>
  <c r="I151" i="2" a="1"/>
  <c r="I151" i="2" s="1"/>
  <c r="I152" i="2" a="1"/>
  <c r="I152" i="2" s="1"/>
  <c r="I153" i="2" a="1"/>
  <c r="I153" i="2" s="1"/>
  <c r="I154" i="2" a="1"/>
  <c r="I154" i="2" s="1"/>
  <c r="I155" i="2" a="1"/>
  <c r="I155" i="2" s="1"/>
  <c r="I156" i="2" a="1"/>
  <c r="I156" i="2" s="1"/>
  <c r="I157" i="2" a="1"/>
  <c r="I157" i="2" s="1"/>
  <c r="I158" i="2" a="1"/>
  <c r="I158" i="2" s="1"/>
  <c r="I159" i="2" a="1"/>
  <c r="I159" i="2" s="1"/>
  <c r="I160" i="2" a="1"/>
  <c r="I160" i="2" s="1"/>
  <c r="I161" i="2" a="1"/>
  <c r="I161" i="2" s="1"/>
  <c r="I162" i="2" a="1"/>
  <c r="I162" i="2" s="1"/>
  <c r="I163" i="2" a="1"/>
  <c r="I163" i="2" s="1"/>
  <c r="I164" i="2" a="1"/>
  <c r="I164" i="2" s="1"/>
  <c r="I165" i="2" a="1"/>
  <c r="I165" i="2" s="1"/>
  <c r="I166" i="2" a="1"/>
  <c r="I166" i="2" s="1"/>
  <c r="I167" i="2" a="1"/>
  <c r="I167" i="2" s="1"/>
  <c r="I168" i="2" a="1"/>
  <c r="I168" i="2" s="1"/>
  <c r="I169" i="2" a="1"/>
  <c r="I169" i="2" s="1"/>
  <c r="I170" i="2" a="1"/>
  <c r="I170" i="2" s="1"/>
  <c r="I171" i="2" a="1"/>
  <c r="I171" i="2" s="1"/>
  <c r="I172" i="2" a="1"/>
  <c r="I172" i="2" s="1"/>
  <c r="I173" i="2" a="1"/>
  <c r="I173" i="2" s="1"/>
  <c r="I174" i="2" a="1"/>
  <c r="I174" i="2" s="1"/>
  <c r="I175" i="2" a="1"/>
  <c r="I175" i="2" s="1"/>
  <c r="I176" i="2" a="1"/>
  <c r="I176" i="2" s="1"/>
  <c r="I177" i="2" a="1"/>
  <c r="I177" i="2" s="1"/>
  <c r="I178" i="2" a="1"/>
  <c r="I178" i="2" s="1"/>
  <c r="I179" i="2" a="1"/>
  <c r="I179" i="2" s="1"/>
  <c r="I180" i="2" a="1"/>
  <c r="I180" i="2" s="1"/>
  <c r="I181" i="2" a="1"/>
  <c r="I181" i="2" s="1"/>
  <c r="I182" i="2" a="1"/>
  <c r="I182" i="2" s="1"/>
  <c r="I183" i="2" a="1"/>
  <c r="I183" i="2" s="1"/>
  <c r="I184" i="2" a="1"/>
  <c r="I184" i="2" s="1"/>
  <c r="I185" i="2" a="1"/>
  <c r="I185" i="2" s="1"/>
  <c r="I186" i="2" a="1"/>
  <c r="I186" i="2" s="1"/>
  <c r="I187" i="2" a="1"/>
  <c r="I187" i="2" s="1"/>
  <c r="I188" i="2" a="1"/>
  <c r="I188" i="2" s="1"/>
  <c r="I189" i="2" a="1"/>
  <c r="I189" i="2" s="1"/>
  <c r="I190" i="2" a="1"/>
  <c r="I190" i="2" s="1"/>
  <c r="I191" i="2" a="1"/>
  <c r="I191" i="2" s="1"/>
  <c r="I192" i="2" a="1"/>
  <c r="I192" i="2" s="1"/>
  <c r="I193" i="2" a="1"/>
  <c r="I193" i="2" s="1"/>
  <c r="I194" i="2" a="1"/>
  <c r="I194" i="2" s="1"/>
  <c r="I195" i="2" a="1"/>
  <c r="I195" i="2" s="1"/>
  <c r="I196" i="2" a="1"/>
  <c r="I196" i="2" s="1"/>
  <c r="I197" i="2" a="1"/>
  <c r="I197" i="2" s="1"/>
  <c r="I198" i="2" a="1"/>
  <c r="I198" i="2" s="1"/>
  <c r="I199" i="2" a="1"/>
  <c r="I199" i="2" s="1"/>
  <c r="I200" i="2" a="1"/>
  <c r="I200" i="2" s="1"/>
  <c r="I201" i="2" a="1"/>
  <c r="I201" i="2" s="1"/>
  <c r="I202" i="2" a="1"/>
  <c r="I202" i="2" s="1"/>
  <c r="I203" i="2" a="1"/>
  <c r="I203" i="2" s="1"/>
  <c r="I204" i="2" a="1"/>
  <c r="I204" i="2" s="1"/>
  <c r="I205" i="2" a="1"/>
  <c r="I205" i="2" s="1"/>
  <c r="I206" i="2" a="1"/>
  <c r="I206" i="2" s="1"/>
  <c r="I207" i="2" a="1"/>
  <c r="I207" i="2" s="1"/>
  <c r="I208" i="2" a="1"/>
  <c r="I208" i="2" s="1"/>
  <c r="I209" i="2" a="1"/>
  <c r="I209" i="2" s="1"/>
  <c r="I210" i="2" a="1"/>
  <c r="I210" i="2" s="1"/>
  <c r="I211" i="2" a="1"/>
  <c r="I211" i="2" s="1"/>
  <c r="I212" i="2" a="1"/>
  <c r="I212" i="2" s="1"/>
  <c r="I213" i="2" a="1"/>
  <c r="I213" i="2" s="1"/>
  <c r="I214" i="2" a="1"/>
  <c r="I214" i="2" s="1"/>
  <c r="I215" i="2" a="1"/>
  <c r="I215" i="2" s="1"/>
  <c r="I216" i="2" a="1"/>
  <c r="I216" i="2" s="1"/>
  <c r="I217" i="2" a="1"/>
  <c r="I217" i="2" s="1"/>
  <c r="I218" i="2" a="1"/>
  <c r="I218" i="2" s="1"/>
  <c r="I219" i="2" a="1"/>
  <c r="I219" i="2" s="1"/>
  <c r="I220" i="2" a="1"/>
  <c r="I220" i="2" s="1"/>
  <c r="I221" i="2" a="1"/>
  <c r="I221" i="2" s="1"/>
  <c r="I222" i="2" a="1"/>
  <c r="I222" i="2" s="1"/>
  <c r="I223" i="2" a="1"/>
  <c r="I223" i="2" s="1"/>
  <c r="I224" i="2" a="1"/>
  <c r="I224" i="2" s="1"/>
  <c r="I225" i="2" a="1"/>
  <c r="I225" i="2" s="1"/>
  <c r="I226" i="2" a="1"/>
  <c r="I226" i="2" s="1"/>
  <c r="I227" i="2" a="1"/>
  <c r="I227" i="2" s="1"/>
  <c r="I228" i="2" a="1"/>
  <c r="I228" i="2" s="1"/>
  <c r="I229" i="2" a="1"/>
  <c r="I229" i="2" s="1"/>
  <c r="I230" i="2" a="1"/>
  <c r="I230" i="2" s="1"/>
  <c r="I231" i="2" a="1"/>
  <c r="I231" i="2" s="1"/>
  <c r="I232" i="2" a="1"/>
  <c r="I232" i="2" s="1"/>
  <c r="I233" i="2" a="1"/>
  <c r="I233" i="2" s="1"/>
  <c r="I234" i="2" a="1"/>
  <c r="I234" i="2" s="1"/>
  <c r="I235" i="2" a="1"/>
  <c r="I235" i="2" s="1"/>
  <c r="I236" i="2" a="1"/>
  <c r="I236" i="2" s="1"/>
  <c r="I237" i="2" a="1"/>
  <c r="I237" i="2" s="1"/>
  <c r="I238" i="2" a="1"/>
  <c r="I238" i="2" s="1"/>
  <c r="I239" i="2" a="1"/>
  <c r="I239" i="2" s="1"/>
  <c r="I240" i="2" a="1"/>
  <c r="I240" i="2" s="1"/>
  <c r="I241" i="2" a="1"/>
  <c r="I241" i="2" s="1"/>
  <c r="I242" i="2" a="1"/>
  <c r="I242" i="2" s="1"/>
  <c r="I243" i="2" a="1"/>
  <c r="I243" i="2" s="1"/>
  <c r="I244" i="2" a="1"/>
  <c r="I244" i="2" s="1"/>
  <c r="I245" i="2" a="1"/>
  <c r="I245" i="2" s="1"/>
  <c r="I246" i="2" a="1"/>
  <c r="I246" i="2" s="1"/>
  <c r="I247" i="2" a="1"/>
  <c r="I247" i="2" s="1"/>
  <c r="I248" i="2" a="1"/>
  <c r="I248" i="2" s="1"/>
  <c r="I249" i="2" a="1"/>
  <c r="I249" i="2" s="1"/>
  <c r="I250" i="2" a="1"/>
  <c r="I250" i="2" s="1"/>
  <c r="I251" i="2" a="1"/>
  <c r="I251" i="2" s="1"/>
  <c r="I252" i="2" a="1"/>
  <c r="I252" i="2" s="1"/>
  <c r="I253" i="2" a="1"/>
  <c r="I253" i="2" s="1"/>
  <c r="I254" i="2" a="1"/>
  <c r="I254" i="2" s="1"/>
  <c r="I255" i="2" a="1"/>
  <c r="I255" i="2" s="1"/>
  <c r="I256" i="2" a="1"/>
  <c r="I256" i="2" s="1"/>
  <c r="I257" i="2" a="1"/>
  <c r="I257" i="2" s="1"/>
  <c r="I258" i="2" a="1"/>
  <c r="I258" i="2" s="1"/>
  <c r="I259" i="2" a="1"/>
  <c r="I259" i="2" s="1"/>
  <c r="I260" i="2" a="1"/>
  <c r="I260" i="2" s="1"/>
  <c r="I261" i="2" a="1"/>
  <c r="I261" i="2" s="1"/>
  <c r="I262" i="2" a="1"/>
  <c r="I262" i="2" s="1"/>
  <c r="I263" i="2" a="1"/>
  <c r="I263" i="2" s="1"/>
  <c r="I264" i="2" a="1"/>
  <c r="I264" i="2" s="1"/>
  <c r="I265" i="2" a="1"/>
  <c r="I265" i="2" s="1"/>
  <c r="I266" i="2" a="1"/>
  <c r="I266" i="2" s="1"/>
  <c r="I267" i="2" a="1"/>
  <c r="I267" i="2" s="1"/>
  <c r="I268" i="2" a="1"/>
  <c r="I268" i="2" s="1"/>
  <c r="I269" i="2" a="1"/>
  <c r="I269" i="2" s="1"/>
  <c r="I270" i="2" a="1"/>
  <c r="I270" i="2" s="1"/>
  <c r="I271" i="2" a="1"/>
  <c r="I271" i="2" s="1"/>
  <c r="I272" i="2" a="1"/>
  <c r="I272" i="2" s="1"/>
  <c r="I273" i="2" a="1"/>
  <c r="I273" i="2" s="1"/>
  <c r="I274" i="2" a="1"/>
  <c r="I274" i="2" s="1"/>
  <c r="I275" i="2" a="1"/>
  <c r="I275" i="2" s="1"/>
  <c r="I276" i="2" a="1"/>
  <c r="I276" i="2" s="1"/>
  <c r="I277" i="2" a="1"/>
  <c r="I277" i="2" s="1"/>
  <c r="I278" i="2" a="1"/>
  <c r="I278" i="2" s="1"/>
  <c r="I279" i="2" a="1"/>
  <c r="I279" i="2" s="1"/>
  <c r="I280" i="2" a="1"/>
  <c r="I280" i="2" s="1"/>
  <c r="I281" i="2" a="1"/>
  <c r="I281" i="2" s="1"/>
  <c r="I282" i="2" a="1"/>
  <c r="I282" i="2" s="1"/>
  <c r="I283" i="2" a="1"/>
  <c r="I283" i="2" s="1"/>
  <c r="I284" i="2" a="1"/>
  <c r="I284" i="2" s="1"/>
  <c r="I285" i="2" a="1"/>
  <c r="I285" i="2" s="1"/>
  <c r="I286" i="2" a="1"/>
  <c r="I286" i="2" s="1"/>
  <c r="I287" i="2" a="1"/>
  <c r="I287" i="2" s="1"/>
  <c r="I288" i="2" a="1"/>
  <c r="I288" i="2" s="1"/>
  <c r="I289" i="2" a="1"/>
  <c r="I289" i="2" s="1"/>
  <c r="I290" i="2" a="1"/>
  <c r="I290" i="2" s="1"/>
  <c r="I291" i="2" a="1"/>
  <c r="I291" i="2" s="1"/>
  <c r="I292" i="2" a="1"/>
  <c r="I292" i="2" s="1"/>
  <c r="I293" i="2" a="1"/>
  <c r="I293" i="2" s="1"/>
  <c r="I294" i="2" a="1"/>
  <c r="I294" i="2" s="1"/>
  <c r="I295" i="2" a="1"/>
  <c r="I295" i="2" s="1"/>
  <c r="I296" i="2" a="1"/>
  <c r="I296" i="2" s="1"/>
  <c r="I297" i="2" a="1"/>
  <c r="I297" i="2" s="1"/>
  <c r="I298" i="2" a="1"/>
  <c r="I298" i="2" s="1"/>
  <c r="I299" i="2" a="1"/>
  <c r="I299" i="2" s="1"/>
  <c r="I300" i="2" a="1"/>
  <c r="I300" i="2" s="1"/>
  <c r="I301" i="2" a="1"/>
  <c r="I301" i="2" s="1"/>
  <c r="I302" i="2" a="1"/>
  <c r="I302" i="2" s="1"/>
  <c r="I303" i="2" a="1"/>
  <c r="I303" i="2" s="1"/>
  <c r="I304" i="2" a="1"/>
  <c r="I304" i="2" s="1"/>
  <c r="I305" i="2" a="1"/>
  <c r="I305" i="2" s="1"/>
  <c r="I306" i="2" a="1"/>
  <c r="I306" i="2" s="1"/>
  <c r="I307" i="2" a="1"/>
  <c r="I307" i="2" s="1"/>
  <c r="I308" i="2" a="1"/>
  <c r="I308" i="2" s="1"/>
  <c r="I309" i="2" a="1"/>
  <c r="I309" i="2" s="1"/>
  <c r="I310" i="2" a="1"/>
  <c r="I310" i="2" s="1"/>
  <c r="I311" i="2" a="1"/>
  <c r="I311" i="2" s="1"/>
  <c r="I312" i="2" a="1"/>
  <c r="I312" i="2" s="1"/>
  <c r="I313" i="2" a="1"/>
  <c r="I313" i="2" s="1"/>
  <c r="I314" i="2" a="1"/>
  <c r="I314" i="2" s="1"/>
  <c r="I315" i="2" a="1"/>
  <c r="I315" i="2" s="1"/>
  <c r="I316" i="2" a="1"/>
  <c r="I316" i="2" s="1"/>
  <c r="I317" i="2" a="1"/>
  <c r="I317" i="2" s="1"/>
  <c r="I318" i="2" a="1"/>
  <c r="I318" i="2" s="1"/>
  <c r="I319" i="2" a="1"/>
  <c r="I319" i="2" s="1"/>
  <c r="I320" i="2" a="1"/>
  <c r="I320" i="2" s="1"/>
  <c r="I321" i="2" a="1"/>
  <c r="I321" i="2" s="1"/>
  <c r="I322" i="2" a="1"/>
  <c r="I322" i="2" s="1"/>
  <c r="I323" i="2" a="1"/>
  <c r="I323" i="2" s="1"/>
  <c r="I324" i="2" a="1"/>
  <c r="I324" i="2" s="1"/>
  <c r="I325" i="2" a="1"/>
  <c r="I325" i="2" s="1"/>
  <c r="I326" i="2" a="1"/>
  <c r="I326" i="2" s="1"/>
  <c r="I327" i="2" a="1"/>
  <c r="I327" i="2" s="1"/>
  <c r="I328" i="2" a="1"/>
  <c r="I328" i="2" s="1"/>
  <c r="I329" i="2" a="1"/>
  <c r="I329" i="2" s="1"/>
  <c r="I330" i="2" a="1"/>
  <c r="I330" i="2" s="1"/>
  <c r="I331" i="2" a="1"/>
  <c r="I331" i="2" s="1"/>
  <c r="I332" i="2" a="1"/>
  <c r="I332" i="2" s="1"/>
  <c r="I333" i="2" a="1"/>
  <c r="I333" i="2" s="1"/>
  <c r="I334" i="2" a="1"/>
  <c r="I334" i="2" s="1"/>
  <c r="I335" i="2" a="1"/>
  <c r="I335" i="2" s="1"/>
  <c r="I336" i="2" a="1"/>
  <c r="I336" i="2" s="1"/>
  <c r="I337" i="2" a="1"/>
  <c r="I337" i="2" s="1"/>
  <c r="I338" i="2" a="1"/>
  <c r="I338" i="2" s="1"/>
  <c r="I339" i="2" a="1"/>
  <c r="I339" i="2" s="1"/>
  <c r="I340" i="2" a="1"/>
  <c r="I340" i="2" s="1"/>
  <c r="I341" i="2" a="1"/>
  <c r="I341" i="2" s="1"/>
  <c r="I342" i="2" a="1"/>
  <c r="I342" i="2" s="1"/>
  <c r="I343" i="2" a="1"/>
  <c r="I343" i="2" s="1"/>
  <c r="I344" i="2" a="1"/>
  <c r="I344" i="2" s="1"/>
  <c r="I345" i="2" a="1"/>
  <c r="I345" i="2" s="1"/>
  <c r="I346" i="2" a="1"/>
  <c r="I346" i="2" s="1"/>
  <c r="I347" i="2" a="1"/>
  <c r="I347" i="2" s="1"/>
  <c r="I348" i="2" a="1"/>
  <c r="I348" i="2" s="1"/>
  <c r="I349" i="2" a="1"/>
  <c r="I349" i="2" s="1"/>
  <c r="I350" i="2" a="1"/>
  <c r="I350" i="2" s="1"/>
  <c r="I351" i="2" a="1"/>
  <c r="I351" i="2" s="1"/>
  <c r="I352" i="2" a="1"/>
  <c r="I352" i="2" s="1"/>
  <c r="I353" i="2" a="1"/>
  <c r="I353" i="2" s="1"/>
  <c r="I354" i="2" a="1"/>
  <c r="I354" i="2" s="1"/>
  <c r="I355" i="2" a="1"/>
  <c r="I355" i="2" s="1"/>
  <c r="I356" i="2" a="1"/>
  <c r="I356" i="2" s="1"/>
  <c r="I357" i="2" a="1"/>
  <c r="I357" i="2" s="1"/>
  <c r="I358" i="2" a="1"/>
  <c r="I358" i="2" s="1"/>
  <c r="I359" i="2" a="1"/>
  <c r="I359" i="2" s="1"/>
  <c r="I360" i="2" a="1"/>
  <c r="I360" i="2" s="1"/>
  <c r="I361" i="2" a="1"/>
  <c r="I361" i="2" s="1"/>
  <c r="I362" i="2" a="1"/>
  <c r="I362" i="2" s="1"/>
  <c r="I363" i="2" a="1"/>
  <c r="I363" i="2" s="1"/>
  <c r="I364" i="2" a="1"/>
  <c r="I364" i="2" s="1"/>
  <c r="I365" i="2" a="1"/>
  <c r="I365" i="2" s="1"/>
  <c r="I366" i="2" a="1"/>
  <c r="I366" i="2" s="1"/>
  <c r="I367" i="2" a="1"/>
  <c r="I367" i="2" s="1"/>
  <c r="I368" i="2" a="1"/>
  <c r="I368" i="2" s="1"/>
  <c r="I369" i="2" a="1"/>
  <c r="I369" i="2" s="1"/>
  <c r="I370" i="2" a="1"/>
  <c r="I370" i="2" s="1"/>
  <c r="I371" i="2" a="1"/>
  <c r="I371" i="2" s="1"/>
  <c r="I372" i="2" a="1"/>
  <c r="I372" i="2" s="1"/>
  <c r="I373" i="2" a="1"/>
  <c r="I373" i="2" s="1"/>
  <c r="I374" i="2" a="1"/>
  <c r="I374" i="2" s="1"/>
  <c r="I375" i="2" a="1"/>
  <c r="I375" i="2" s="1"/>
  <c r="I376" i="2" a="1"/>
  <c r="I376" i="2" s="1"/>
  <c r="I377" i="2" a="1"/>
  <c r="I377" i="2" s="1"/>
  <c r="I378" i="2" a="1"/>
  <c r="I378" i="2" s="1"/>
  <c r="I379" i="2" a="1"/>
  <c r="I379" i="2" s="1"/>
  <c r="I380" i="2" a="1"/>
  <c r="I380" i="2" s="1"/>
  <c r="I381" i="2" a="1"/>
  <c r="I381" i="2" s="1"/>
  <c r="I382" i="2" a="1"/>
  <c r="I382" i="2" s="1"/>
  <c r="I383" i="2" a="1"/>
  <c r="I383" i="2" s="1"/>
  <c r="I384" i="2" a="1"/>
  <c r="I384" i="2" s="1"/>
  <c r="I385" i="2" a="1"/>
  <c r="I385" i="2" s="1"/>
  <c r="I386" i="2" a="1"/>
  <c r="I386" i="2" s="1"/>
  <c r="I387" i="2" a="1"/>
  <c r="I387" i="2" s="1"/>
  <c r="I388" i="2" a="1"/>
  <c r="I388" i="2" s="1"/>
  <c r="I389" i="2" a="1"/>
  <c r="I389" i="2" s="1"/>
  <c r="I390" i="2" a="1"/>
  <c r="I390" i="2" s="1"/>
  <c r="I391" i="2" a="1"/>
  <c r="I391" i="2" s="1"/>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<sst xmlns="http://schemas.openxmlformats.org/spreadsheetml/2006/main" count="503" uniqueCount="87">
  <si>
    <t>instant</t>
  </si>
  <si>
    <t>dteday</t>
  </si>
  <si>
    <t>season</t>
  </si>
  <si>
    <t>yr</t>
  </si>
  <si>
    <t>mnth</t>
  </si>
  <si>
    <t>hr</t>
  </si>
  <si>
    <t>holiday</t>
  </si>
  <si>
    <t>weekday</t>
  </si>
  <si>
    <t>weathersit</t>
  </si>
  <si>
    <t>temp</t>
  </si>
  <si>
    <t>atemp</t>
  </si>
  <si>
    <t>hum</t>
  </si>
  <si>
    <t>windspeed</t>
  </si>
  <si>
    <t>casual</t>
  </si>
  <si>
    <t>registered</t>
  </si>
  <si>
    <t>cnt</t>
  </si>
  <si>
    <t>Instant</t>
  </si>
  <si>
    <t>Date</t>
  </si>
  <si>
    <t>Season</t>
  </si>
  <si>
    <t>Holiday</t>
  </si>
  <si>
    <t>Weekday</t>
  </si>
  <si>
    <t>Temp</t>
  </si>
  <si>
    <t>Atemp</t>
  </si>
  <si>
    <t>Hum</t>
  </si>
  <si>
    <t>Windspeed</t>
  </si>
  <si>
    <t>Casual</t>
  </si>
  <si>
    <t>Registered</t>
  </si>
  <si>
    <t>False</t>
  </si>
  <si>
    <t>Day</t>
  </si>
  <si>
    <t>Weather</t>
  </si>
  <si>
    <t>Days (Date)</t>
  </si>
  <si>
    <t>Jan</t>
  </si>
  <si>
    <t>Feb</t>
  </si>
  <si>
    <t>28-Jan</t>
  </si>
  <si>
    <t>29-Jan</t>
  </si>
  <si>
    <t>30-Jan</t>
  </si>
  <si>
    <t>31-Jan</t>
  </si>
  <si>
    <t>01-Feb</t>
  </si>
  <si>
    <t>02-Feb</t>
  </si>
  <si>
    <t>03-Feb</t>
  </si>
  <si>
    <t>04-Feb</t>
  </si>
  <si>
    <t>05-Feb</t>
  </si>
  <si>
    <t>06-Feb</t>
  </si>
  <si>
    <t>07-Feb</t>
  </si>
  <si>
    <t>08-Feb</t>
  </si>
  <si>
    <t>09-Feb</t>
  </si>
  <si>
    <t>10-Feb</t>
  </si>
  <si>
    <t>11-Feb</t>
  </si>
  <si>
    <t>12-Feb</t>
  </si>
  <si>
    <t>13-Feb</t>
  </si>
  <si>
    <t>14-Feb</t>
  </si>
  <si>
    <t>1 Clear</t>
  </si>
  <si>
    <t>Values</t>
  </si>
  <si>
    <t>Sum of Weathersit</t>
  </si>
  <si>
    <t>2 Misty/Cloudy</t>
  </si>
  <si>
    <t>3 Light Snow/Rain</t>
  </si>
  <si>
    <t>Min Temp</t>
  </si>
  <si>
    <t>Max Temp</t>
  </si>
  <si>
    <t>Avg Temp</t>
  </si>
  <si>
    <t>Temperature, Weather situation Correlation</t>
  </si>
  <si>
    <t>Weather Situation(Days &amp; Hours)</t>
  </si>
  <si>
    <t>Windspeed Bucket</t>
  </si>
  <si>
    <t>Humidity Bucket</t>
  </si>
  <si>
    <t>Total</t>
  </si>
  <si>
    <t>Row Labels</t>
  </si>
  <si>
    <t>Total(Reg+Casual)</t>
  </si>
  <si>
    <t>Lowest Count</t>
  </si>
  <si>
    <t>Highest Count</t>
  </si>
  <si>
    <t>Top 5 Count</t>
  </si>
  <si>
    <t>Sum of Casual</t>
  </si>
  <si>
    <t>Sum of Registered</t>
  </si>
  <si>
    <t>sum</t>
  </si>
  <si>
    <t>DIgit</t>
  </si>
  <si>
    <t>New</t>
  </si>
  <si>
    <t>Sunday</t>
  </si>
  <si>
    <t>Monday</t>
  </si>
  <si>
    <t>Tuesday</t>
  </si>
  <si>
    <t>Wednesday</t>
  </si>
  <si>
    <t>Thursday</t>
  </si>
  <si>
    <t>Friday</t>
  </si>
  <si>
    <t>Saturday</t>
  </si>
  <si>
    <t>Sum of Total</t>
  </si>
  <si>
    <t>Total rental</t>
  </si>
  <si>
    <t>Registered.</t>
  </si>
  <si>
    <t>Casual.</t>
  </si>
  <si>
    <t>Hour</t>
  </si>
  <si>
    <t>Weather 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</si>
</sst>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4" x14ac:knownFonts="1">
    <font>
      <sz val="10"/>
      <color rgb="FF000000"/>
      <name val="Arial"/>
      <scheme val="minor"/>
    </font>
    <font>
      <sz val="10"/>
      <color theme="1"/>
      <name val="Arial"/>
      <scheme val="minor"/>
    </font>
    <font>
      <sz val="10"/>
      <color theme="1"/>
      <name val="Arial"/>
      <family val="2"/>
      <scheme val="minor"/>
    </font>
    <font>
      <b/>
      <sz val="10"/>
      <color rgb="FF000000"/>
      <name val="Arial"/>
      <family val="2"/>
      <scheme val="minor"/>
    </font>
    <font>
      <sz val="10"/>
      <color theme="4" tint="0.79998168889431442"/>
      <name val="Arial"/>
      <scheme val="minor"/>
    </font>
    <font>
      <sz val="8"/>
      <color rgb="FF000000"/>
      <name val="Arial"/>
      <family val="2"/>
      <scheme val="minor"/>
    </font>
    <font>
      <sz val="10"/>
      <color theme="4" tint="0.79998168889431442"/>
      <name val="Arial"/>
      <family val="2"/>
      <scheme val="minor"/>
    </font>
    <font>
      <sz val="10"/>
      <color theme="2"/>
      <name val="Arial"/>
      <family val="2"/>
      <scheme val="minor"/>
    </font>
    <font>
      <b/>
      <sz val="8"/>
      <color theme="4" tint="-0.499984740745262"/>
      <name val="Arial"/>
      <family val="2"/>
      <scheme val="minor"/>
    </font>
    <font>
      <b/>
      <sz val="8"/>
      <color rgb="FFC00000"/>
      <name val="Arial"/>
      <family val="2"/>
      <scheme val="minor"/>
    </font>
    <font>
      <sz val="10"/>
      <color rgb="FFC00000"/>
      <name val="Arial"/>
      <family val="2"/>
      <scheme val="minor"/>
    </font>
    <font>
      <b/>
      <sz val="8"/>
      <color rgb="FFFFC000"/>
      <name val="Arial"/>
      <family val="2"/>
      <scheme val="minor"/>
    </font>
    <font>
      <sz val="10"/>
      <color rgb="FFFFC000"/>
      <name val="Arial"/>
      <family val="2"/>
      <scheme val="minor"/>
    </font>
    <font>
      <sz val="10"/>
      <color rgb="FF0070C0"/>
      <name val="Arial"/>
      <family val="2"/>
      <scheme val="minor"/>
    </font>
  </fonts>
  <fills count="3">
    <fill>
      <patternFill patternType="none"/>
    </fill>
    <fill>
      <patternFill patternType="gray125"/>
    </fill>
    <fill>
      <patternFill patternType="solid">
        <fgColor rgb="FFFFC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3">
    <xf numFmtId="0" fontId="0" fillId="0" borderId="0" xfId="0"/>
    <xf numFmtId="0" fontId="1" fillId="0" borderId="0" xfId="0" applyFont="1"/>
    <xf numFmtId="164" fontId="1" fillId="0" borderId="0" xfId="0" applyNumberFormat="1" applyFont="1"/>
    <xf numFmtId="14" fontId="1" fillId="0" borderId="0" xfId="0" applyNumberFormat="1" applyFont="1"/>
    <xf numFmtId="14" fontId="0" fillId="0" borderId="0" xfId="0" applyNumberFormat="1"/>
    <xf numFmtId="0" fontId="2" fillId="0" borderId="0" xfId="0" applyFont="1"/>
    <xf numFmtId="14" fontId="2" fillId="0" borderId="0" xfId="0" applyNumberFormat="1" applyFont="1"/>
    <xf numFmtId="2" fontId="1" fillId="0" borderId="0" xfId="0" applyNumberFormat="1" applyFont="1"/>
    <xf numFmtId="0" fontId="0" fillId="0" borderId="3" xfId="0" applyBorder="1"/>
    <xf numFmtId="0" fontId="0" fillId="0" borderId="5" xfId="0" applyBorder="1"/>
    <xf numFmtId="0" fontId="0" fillId="0" borderId="8" xfId="0" applyBorder="1"/>
    <xf numFmtId="0" fontId="0" fillId="0" borderId="10" xfId="0" pivotButton="1" applyBorder="1"/>
    <xf numFmtId="0" fontId="0" fillId="0" borderId="11" xfId="0" applyBorder="1"/>
    <xf numFmtId="0" fontId="0" fillId="0" borderId="12" xfId="0" applyBorder="1"/>
    <xf numFmtId="0" fontId="0" fillId="0" borderId="10" xfId="0" applyBorder="1"/>
    <xf numFmtId="0" fontId="0" fillId="0" borderId="13" xfId="0" applyBorder="1"/>
    <xf numFmtId="0" fontId="0" fillId="0" borderId="14" xfId="0" applyBorder="1"/>
    <xf numFmtId="0" fontId="0" fillId="0" borderId="15" xfId="0" applyBorder="1"/>
    <xf numFmtId="2" fontId="0" fillId="0" borderId="0" xfId="0" applyNumberFormat="1"/>
    <xf numFmtId="2" fontId="0" fillId="0" borderId="8" xfId="0" applyNumberFormat="1" applyBorder="1"/>
    <xf numFmtId="2" fontId="0" fillId="0" borderId="2" xfId="0" applyNumberFormat="1" applyBorder="1"/>
    <xf numFmtId="2" fontId="0" fillId="0" borderId="3" xfId="0" applyNumberFormat="1" applyBorder="1"/>
    <xf numFmtId="2" fontId="0" fillId="0" borderId="5" xfId="0" applyNumberFormat="1" applyBorder="1"/>
    <xf numFmtId="2" fontId="0" fillId="0" borderId="7" xfId="0" applyNumberFormat="1" applyBorder="1"/>
    <xf numFmtId="0" fontId="0" fillId="0" borderId="1" xfId="0" pivotButton="1" applyBorder="1"/>
    <xf numFmtId="2" fontId="0" fillId="0" borderId="6" xfId="0" applyNumberFormat="1" applyBorder="1"/>
    <xf numFmtId="2" fontId="0" fillId="0" borderId="9" xfId="0" applyNumberFormat="1" applyBorder="1"/>
    <xf numFmtId="2" fontId="0" fillId="0" borderId="4"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6" xfId="0" applyBorder="1"/>
    <xf numFmtId="0" fontId="0" fillId="0" borderId="9" xfId="0" applyBorder="1"/>
    <xf numFmtId="0" fontId="0" fillId="0" borderId="2" xfId="0" applyBorder="1"/>
    <xf numFmtId="0" fontId="0" fillId="0" borderId="4" xfId="0" applyBorder="1"/>
    <xf numFmtId="0" fontId="0" fillId="0" borderId="7" xfId="0" applyBorder="1"/>
    <xf numFmtId="0" fontId="4" fillId="0" borderId="1" xfId="0" pivotButton="1" applyFont="1" applyBorder="1"/>
    <xf numFmtId="0" fontId="3" fillId="2" borderId="2" xfId="0" applyFont="1" applyFill="1" applyBorder="1"/>
    <xf numFmtId="0" fontId="3" fillId="2" borderId="3" xfId="0" applyFont="1" applyFill="1" applyBorder="1"/>
    <xf numFmtId="0" fontId="3" fillId="2" borderId="4" xfId="0" applyFont="1" applyFill="1" applyBorder="1"/>
    <xf numFmtId="0" fontId="3" fillId="0" borderId="5" xfId="0" applyFont="1" applyBorder="1"/>
    <xf numFmtId="0" fontId="6" fillId="0" borderId="0" xfId="0" applyFont="1"/>
    <xf numFmtId="0" fontId="7" fillId="0" borderId="0" xfId="0" applyFont="1"/>
    <xf numFmtId="0" fontId="10" fillId="0" borderId="0" xfId="0" applyFont="1"/>
    <xf numFmtId="0" fontId="12" fillId="0" borderId="0" xfId="0" applyFont="1"/>
    <xf numFmtId="0" fontId="13" fillId="0" borderId="0" xfId="0" applyFont="1"/>
    <xf numFmtId="0" fontId="5" fillId="0" borderId="0" xfId="0" applyFont="1"/>
    <xf numFmtId="0" fontId="8" fillId="0" borderId="0" xfId="0" applyFont="1"/>
    <xf numFmtId="0" fontId="9" fillId="0" borderId="0" xfId="0" applyFont="1"/>
    <xf numFmtId="0" fontId="11" fillId="0" borderId="0" xfId="0" applyFont="1"/>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cellXfs>
  <cellStyles count="1">
    <cellStyle name="Normal" xfId="0" builtinId="0"/>
  </cellStyles>
  <dxfs count="132">
    <dxf>
      <font>
        <color rgb="FF0070C0"/>
      </font>
    </dxf>
    <dxf>
      <font>
        <color rgb="FFFFC000"/>
      </font>
    </dxf>
    <dxf>
      <font>
        <color rgb="FFFFC000"/>
      </font>
    </dxf>
    <dxf>
      <font>
        <b/>
      </font>
    </dxf>
    <dxf>
      <font>
        <color rgb="FFC00000"/>
      </font>
    </dxf>
    <dxf>
      <font>
        <color rgb="FFC00000"/>
      </font>
    </dxf>
    <dxf>
      <font>
        <b/>
      </font>
    </dxf>
    <dxf>
      <font>
        <b/>
      </font>
    </dxf>
    <dxf>
      <font>
        <color theme="4" tint="-0.499984740745262"/>
      </font>
    </dxf>
    <dxf>
      <font>
        <color theme="4" tint="0.79998168889431442"/>
      </font>
    </dxf>
    <dxf>
      <font>
        <color theme="4" tint="0.79998168889431442"/>
      </font>
    </dxf>
    <dxf>
      <font>
        <color theme="4" tint="0.79998168889431442"/>
      </font>
    </dxf>
    <dxf>
      <font>
        <sz val="8"/>
      </font>
    </dxf>
    <dxf>
      <font>
        <sz val="8"/>
      </font>
    </dxf>
    <dxf>
      <font>
        <sz val="8"/>
      </font>
    </dxf>
    <dxf>
      <font>
        <color rgb="FF0070C0"/>
      </font>
    </dxf>
    <dxf>
      <font>
        <color rgb="FFC00000"/>
      </font>
    </dxf>
    <dxf>
      <font>
        <color rgb="FFFFC000"/>
      </font>
    </dxf>
    <dxf>
      <font>
        <color theme="4" tint="0.79998168889431442"/>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color theme="4" tint="0.79998168889431442"/>
      </font>
    </dxf>
    <dxf>
      <font>
        <color theme="4" tint="0.79998168889431442"/>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4" tint="0.7999816888943144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9" formatCode="dd/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colors>
    <mruColors>
      <color rgb="FFBBC4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73775604080418E-2"/>
          <c:y val="5.8618213681558735E-2"/>
          <c:w val="0.86037445319335082"/>
          <c:h val="0.70536198600174982"/>
        </c:manualLayout>
      </c:layout>
      <c:lineChart>
        <c:grouping val="standard"/>
        <c:varyColors val="0"/>
        <c:ser>
          <c:idx val="0"/>
          <c:order val="0"/>
          <c:tx>
            <c:strRef>
              <c:f>'Pivot 2'!$K$3</c:f>
              <c:strCache>
                <c:ptCount val="1"/>
                <c:pt idx="0">
                  <c:v>Casual.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3"/>
            <c:marker>
              <c:symbol val="circle"/>
              <c:size val="5"/>
              <c:spPr>
                <a:solidFill>
                  <a:srgbClr val="00B050"/>
                </a:solidFill>
                <a:ln w="9525">
                  <a:noFill/>
                </a:ln>
                <a:effectLst/>
              </c:spPr>
            </c:marker>
            <c:bubble3D val="0"/>
            <c:extLst>
              <c:ext xmlns:c16="http://schemas.microsoft.com/office/drawing/2014/chart" uri="{C3380CC4-5D6E-409C-BE32-E72D297353CC}">
                <c16:uniqueId val="{00000003-E6D1-4F97-B453-6CD11E391972}"/>
              </c:ext>
            </c:extLst>
          </c:dPt>
          <c:dPt>
            <c:idx val="6"/>
            <c:marker>
              <c:symbol val="circle"/>
              <c:size val="5"/>
              <c:spPr>
                <a:solidFill>
                  <a:srgbClr val="00B050"/>
                </a:solidFill>
                <a:ln w="9525">
                  <a:noFill/>
                </a:ln>
                <a:effectLst/>
              </c:spPr>
            </c:marker>
            <c:bubble3D val="0"/>
            <c:extLst>
              <c:ext xmlns:c16="http://schemas.microsoft.com/office/drawing/2014/chart" uri="{C3380CC4-5D6E-409C-BE32-E72D297353CC}">
                <c16:uniqueId val="{00000002-E6D1-4F97-B453-6CD11E391972}"/>
              </c:ext>
            </c:extLst>
          </c:dPt>
          <c:dLbls>
            <c:dLbl>
              <c:idx val="3"/>
              <c:layout>
                <c:manualLayout>
                  <c:x val="-3.2216494845360905E-2"/>
                  <c:y val="-7.5890251021599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D1-4F97-B453-6CD11E391972}"/>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D1-4F97-B453-6CD11E3919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2'!$I$4:$I$10</c:f>
              <c:strCache>
                <c:ptCount val="7"/>
                <c:pt idx="0">
                  <c:v>Monday</c:v>
                </c:pt>
                <c:pt idx="1">
                  <c:v>Tuesday</c:v>
                </c:pt>
                <c:pt idx="2">
                  <c:v>Wednesday</c:v>
                </c:pt>
                <c:pt idx="3">
                  <c:v>Thursday</c:v>
                </c:pt>
                <c:pt idx="4">
                  <c:v>Friday</c:v>
                </c:pt>
                <c:pt idx="5">
                  <c:v>Saturday</c:v>
                </c:pt>
                <c:pt idx="6">
                  <c:v>Sunday</c:v>
                </c:pt>
              </c:strCache>
            </c:strRef>
          </c:cat>
          <c:val>
            <c:numRef>
              <c:f>'Pivot 2'!$K$4:$K$10</c:f>
              <c:numCache>
                <c:formatCode>General</c:formatCode>
                <c:ptCount val="7"/>
                <c:pt idx="0">
                  <c:v>170</c:v>
                </c:pt>
                <c:pt idx="1">
                  <c:v>111</c:v>
                </c:pt>
                <c:pt idx="2">
                  <c:v>125</c:v>
                </c:pt>
                <c:pt idx="3">
                  <c:v>108</c:v>
                </c:pt>
                <c:pt idx="4">
                  <c:v>259</c:v>
                </c:pt>
                <c:pt idx="5">
                  <c:v>511</c:v>
                </c:pt>
                <c:pt idx="6">
                  <c:v>891</c:v>
                </c:pt>
              </c:numCache>
            </c:numRef>
          </c:val>
          <c:smooth val="0"/>
          <c:extLst>
            <c:ext xmlns:c16="http://schemas.microsoft.com/office/drawing/2014/chart" uri="{C3380CC4-5D6E-409C-BE32-E72D297353CC}">
              <c16:uniqueId val="{00000007-8854-49DD-AABC-587496DD163B}"/>
            </c:ext>
          </c:extLst>
        </c:ser>
        <c:ser>
          <c:idx val="1"/>
          <c:order val="1"/>
          <c:tx>
            <c:strRef>
              <c:f>'Pivot 2'!$M$3</c:f>
              <c:strCache>
                <c:ptCount val="1"/>
                <c:pt idx="0">
                  <c:v>Registered.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1"/>
            <c:marker>
              <c:symbol val="circle"/>
              <c:size val="5"/>
              <c:spPr>
                <a:solidFill>
                  <a:srgbClr val="00B050"/>
                </a:solidFill>
                <a:ln w="9525">
                  <a:noFill/>
                </a:ln>
                <a:effectLst/>
              </c:spPr>
            </c:marker>
            <c:bubble3D val="0"/>
            <c:extLst>
              <c:ext xmlns:c16="http://schemas.microsoft.com/office/drawing/2014/chart" uri="{C3380CC4-5D6E-409C-BE32-E72D297353CC}">
                <c16:uniqueId val="{00000004-E6D1-4F97-B453-6CD11E391972}"/>
              </c:ext>
            </c:extLst>
          </c:dPt>
          <c:dPt>
            <c:idx val="6"/>
            <c:marker>
              <c:symbol val="circle"/>
              <c:size val="5"/>
              <c:spPr>
                <a:solidFill>
                  <a:srgbClr val="00B050"/>
                </a:solidFill>
                <a:ln w="9525">
                  <a:noFill/>
                </a:ln>
                <a:effectLst/>
              </c:spPr>
            </c:marker>
            <c:bubble3D val="0"/>
            <c:extLst>
              <c:ext xmlns:c16="http://schemas.microsoft.com/office/drawing/2014/chart" uri="{C3380CC4-5D6E-409C-BE32-E72D297353CC}">
                <c16:uniqueId val="{00000001-E6D1-4F97-B453-6CD11E391972}"/>
              </c:ext>
            </c:extLst>
          </c:dPt>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D1-4F97-B453-6CD11E391972}"/>
                </c:ext>
              </c:extLst>
            </c:dLbl>
            <c:dLbl>
              <c:idx val="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D1-4F97-B453-6CD11E3919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2'!$I$4:$I$10</c:f>
              <c:strCache>
                <c:ptCount val="7"/>
                <c:pt idx="0">
                  <c:v>Monday</c:v>
                </c:pt>
                <c:pt idx="1">
                  <c:v>Tuesday</c:v>
                </c:pt>
                <c:pt idx="2">
                  <c:v>Wednesday</c:v>
                </c:pt>
                <c:pt idx="3">
                  <c:v>Thursday</c:v>
                </c:pt>
                <c:pt idx="4">
                  <c:v>Friday</c:v>
                </c:pt>
                <c:pt idx="5">
                  <c:v>Saturday</c:v>
                </c:pt>
                <c:pt idx="6">
                  <c:v>Sunday</c:v>
                </c:pt>
              </c:strCache>
            </c:strRef>
          </c:cat>
          <c:val>
            <c:numRef>
              <c:f>'Pivot 2'!$M$4:$M$10</c:f>
              <c:numCache>
                <c:formatCode>General</c:formatCode>
                <c:ptCount val="7"/>
                <c:pt idx="0">
                  <c:v>3194</c:v>
                </c:pt>
                <c:pt idx="1">
                  <c:v>2779</c:v>
                </c:pt>
                <c:pt idx="2">
                  <c:v>3006</c:v>
                </c:pt>
                <c:pt idx="3">
                  <c:v>2980</c:v>
                </c:pt>
                <c:pt idx="4">
                  <c:v>3791</c:v>
                </c:pt>
                <c:pt idx="5">
                  <c:v>3064</c:v>
                </c:pt>
                <c:pt idx="6">
                  <c:v>3417</c:v>
                </c:pt>
              </c:numCache>
            </c:numRef>
          </c:val>
          <c:smooth val="0"/>
          <c:extLst>
            <c:ext xmlns:c16="http://schemas.microsoft.com/office/drawing/2014/chart" uri="{C3380CC4-5D6E-409C-BE32-E72D297353CC}">
              <c16:uniqueId val="{00000008-8854-49DD-AABC-587496DD163B}"/>
            </c:ext>
          </c:extLst>
        </c:ser>
        <c:ser>
          <c:idx val="2"/>
          <c:order val="2"/>
          <c:tx>
            <c:strRef>
              <c:f>'Pivot 2'!$O$3</c:f>
              <c:strCache>
                <c:ptCount val="1"/>
                <c:pt idx="0">
                  <c:v>Total rental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1"/>
            <c:marker>
              <c:symbol val="circle"/>
              <c:size val="5"/>
              <c:spPr>
                <a:solidFill>
                  <a:srgbClr val="00B050"/>
                </a:solidFill>
                <a:ln w="9525">
                  <a:noFill/>
                </a:ln>
                <a:effectLst/>
              </c:spPr>
            </c:marker>
            <c:bubble3D val="0"/>
            <c:extLst>
              <c:ext xmlns:c16="http://schemas.microsoft.com/office/drawing/2014/chart" uri="{C3380CC4-5D6E-409C-BE32-E72D297353CC}">
                <c16:uniqueId val="{00000005-E6D1-4F97-B453-6CD11E391972}"/>
              </c:ext>
            </c:extLst>
          </c:dPt>
          <c:dPt>
            <c:idx val="6"/>
            <c:marker>
              <c:symbol val="circle"/>
              <c:size val="5"/>
              <c:spPr>
                <a:solidFill>
                  <a:srgbClr val="92D050"/>
                </a:solidFill>
                <a:ln w="9525">
                  <a:noFill/>
                </a:ln>
                <a:effectLst/>
              </c:spPr>
            </c:marker>
            <c:bubble3D val="0"/>
            <c:extLst>
              <c:ext xmlns:c16="http://schemas.microsoft.com/office/drawing/2014/chart" uri="{C3380CC4-5D6E-409C-BE32-E72D297353CC}">
                <c16:uniqueId val="{00000000-E6D1-4F97-B453-6CD11E391972}"/>
              </c:ext>
            </c:extLst>
          </c:dPt>
          <c:dLbls>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D1-4F97-B453-6CD11E391972}"/>
                </c:ext>
              </c:extLst>
            </c:dLbl>
            <c:dLbl>
              <c:idx val="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D1-4F97-B453-6CD11E3919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2'!$I$4:$I$10</c:f>
              <c:strCache>
                <c:ptCount val="7"/>
                <c:pt idx="0">
                  <c:v>Monday</c:v>
                </c:pt>
                <c:pt idx="1">
                  <c:v>Tuesday</c:v>
                </c:pt>
                <c:pt idx="2">
                  <c:v>Wednesday</c:v>
                </c:pt>
                <c:pt idx="3">
                  <c:v>Thursday</c:v>
                </c:pt>
                <c:pt idx="4">
                  <c:v>Friday</c:v>
                </c:pt>
                <c:pt idx="5">
                  <c:v>Saturday</c:v>
                </c:pt>
                <c:pt idx="6">
                  <c:v>Sunday</c:v>
                </c:pt>
              </c:strCache>
            </c:strRef>
          </c:cat>
          <c:val>
            <c:numRef>
              <c:f>'Pivot 2'!$O$4:$O$10</c:f>
              <c:numCache>
                <c:formatCode>General</c:formatCode>
                <c:ptCount val="7"/>
                <c:pt idx="0">
                  <c:v>3364</c:v>
                </c:pt>
                <c:pt idx="1">
                  <c:v>2890</c:v>
                </c:pt>
                <c:pt idx="2">
                  <c:v>3131</c:v>
                </c:pt>
                <c:pt idx="3">
                  <c:v>3088</c:v>
                </c:pt>
                <c:pt idx="4">
                  <c:v>4050</c:v>
                </c:pt>
                <c:pt idx="5">
                  <c:v>3575</c:v>
                </c:pt>
                <c:pt idx="6">
                  <c:v>4308</c:v>
                </c:pt>
              </c:numCache>
            </c:numRef>
          </c:val>
          <c:smooth val="0"/>
          <c:extLst>
            <c:ext xmlns:c16="http://schemas.microsoft.com/office/drawing/2014/chart" uri="{C3380CC4-5D6E-409C-BE32-E72D297353CC}">
              <c16:uniqueId val="{00000009-8854-49DD-AABC-587496DD163B}"/>
            </c:ext>
          </c:extLst>
        </c:ser>
        <c:dLbls>
          <c:showLegendKey val="0"/>
          <c:showVal val="0"/>
          <c:showCatName val="0"/>
          <c:showSerName val="0"/>
          <c:showPercent val="0"/>
          <c:showBubbleSize val="0"/>
        </c:dLbls>
        <c:marker val="1"/>
        <c:smooth val="0"/>
        <c:axId val="231993503"/>
        <c:axId val="231989663"/>
      </c:lineChart>
      <c:catAx>
        <c:axId val="23199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89663"/>
        <c:crosses val="autoZero"/>
        <c:auto val="1"/>
        <c:lblAlgn val="ctr"/>
        <c:lblOffset val="100"/>
        <c:noMultiLvlLbl val="0"/>
      </c:catAx>
      <c:valAx>
        <c:axId val="231989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9350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30480</xdr:colOff>
      <xdr:row>23</xdr:row>
      <xdr:rowOff>60960</xdr:rowOff>
    </xdr:from>
    <xdr:to>
      <xdr:col>34</xdr:col>
      <xdr:colOff>198120</xdr:colOff>
      <xdr:row>27</xdr:row>
      <xdr:rowOff>76200</xdr:rowOff>
    </xdr:to>
    <mc:AlternateContent xmlns:mc="http://schemas.openxmlformats.org/markup-compatibility/2006" xmlns:a14="http://schemas.microsoft.com/office/drawing/2010/main">
      <mc:Choice Requires="a14">
        <xdr:graphicFrame macro="">
          <xdr:nvGraphicFramePr>
            <xdr:cNvPr id="2" name="Weather">
              <a:extLst>
                <a:ext uri="{FF2B5EF4-FFF2-40B4-BE49-F238E27FC236}">
                  <a16:creationId xmlns:a16="http://schemas.microsoft.com/office/drawing/2014/main" id="{8AC18359-7EB1-7BAB-C4EF-02FB6F1F79D2}"/>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4785360" y="3916680"/>
              <a:ext cx="672846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114300</xdr:colOff>
      <xdr:row>0</xdr:row>
      <xdr:rowOff>152399</xdr:rowOff>
    </xdr:from>
    <xdr:to>
      <xdr:col>16</xdr:col>
      <xdr:colOff>601980</xdr:colOff>
      <xdr:row>11</xdr:row>
      <xdr:rowOff>152400</xdr:rowOff>
    </xdr:to>
    <mc:AlternateContent xmlns:mc="http://schemas.openxmlformats.org/markup-compatibility/2006" xmlns:a14="http://schemas.microsoft.com/office/drawing/2010/main">
      <mc:Choice Requires="a14">
        <xdr:graphicFrame macro="">
          <xdr:nvGraphicFramePr>
            <xdr:cNvPr id="2" name="Day">
              <a:extLst>
                <a:ext uri="{FF2B5EF4-FFF2-40B4-BE49-F238E27FC236}">
                  <a16:creationId xmlns:a16="http://schemas.microsoft.com/office/drawing/2014/main" id="{0BC5E7A3-6391-E3E0-DEAE-F97A2637B379}"/>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1818620" y="152399"/>
              <a:ext cx="1097280" cy="1844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601980</xdr:colOff>
      <xdr:row>11</xdr:row>
      <xdr:rowOff>87630</xdr:rowOff>
    </xdr:from>
    <xdr:to>
      <xdr:col>15</xdr:col>
      <xdr:colOff>30480</xdr:colOff>
      <xdr:row>24</xdr:row>
      <xdr:rowOff>83820</xdr:rowOff>
    </xdr:to>
    <xdr:graphicFrame macro="">
      <xdr:nvGraphicFramePr>
        <xdr:cNvPr id="3" name="Chart 2">
          <a:extLst>
            <a:ext uri="{FF2B5EF4-FFF2-40B4-BE49-F238E27FC236}">
              <a16:creationId xmlns:a16="http://schemas.microsoft.com/office/drawing/2014/main" id="{897F3890-7B3B-CAF0-6711-D26DEFB304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RATA" refreshedDate="46030.607138888889" createdVersion="8" refreshedVersion="8" minRefreshableVersion="3" recordCount="390" xr:uid="{0618ED19-E607-46EE-A26E-1CD8EB00769D}">
  <cacheSource type="worksheet">
    <worksheetSource name="dataset3"/>
  </cacheSource>
  <cacheFields count="20">
    <cacheField name="Instant" numFmtId="0">
      <sharedItems containsSemiMixedTypes="0" containsString="0" containsNumber="1" containsInteger="1" minValue="611" maxValue="1000"/>
    </cacheField>
    <cacheField name="Date" numFmtId="14">
      <sharedItems containsSemiMixedTypes="0" containsNonDate="0" containsDate="1" containsString="0" minDate="2011-01-28T00:00:00" maxDate="2011-02-15T00:00:00" count="18">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1-28T00:00:00"/>
      </sharedItems>
      <fieldGroup par="19"/>
    </cacheField>
    <cacheField name="Season" numFmtId="0">
      <sharedItems containsSemiMixedTypes="0" containsString="0" containsNumber="1" containsInteger="1" minValue="1" maxValue="1"/>
    </cacheField>
    <cacheField name="Hr" numFmtId="0">
      <sharedItems containsSemiMixedTypes="0" containsString="0" containsNumber="1" containsInteger="1" minValue="0" maxValue="23" count="24">
        <n v="1"/>
        <n v="2"/>
        <n v="3"/>
        <n v="4"/>
        <n v="6"/>
        <n v="7"/>
        <n v="8"/>
        <n v="9"/>
        <n v="10"/>
        <n v="11"/>
        <n v="12"/>
        <n v="13"/>
        <n v="14"/>
        <n v="15"/>
        <n v="16"/>
        <n v="17"/>
        <n v="18"/>
        <n v="19"/>
        <n v="20"/>
        <n v="21"/>
        <n v="22"/>
        <n v="23"/>
        <n v="0"/>
        <n v="5"/>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3"/>
    </cacheField>
    <cacheField name="Temp" numFmtId="2">
      <sharedItems containsSemiMixedTypes="0" containsString="0" containsNumber="1" minValue="0.06" maxValue="0.42"/>
    </cacheField>
    <cacheField name="Atemp" numFmtId="2">
      <sharedItems containsSemiMixedTypes="0" containsString="0" containsNumber="1" minValue="7.5800000000000006E-2" maxValue="0.42420000000000002"/>
    </cacheField>
    <cacheField name="Hum" numFmtId="2">
      <sharedItems containsSemiMixedTypes="0" containsString="0" containsNumber="1" minValue="0.21" maxValue="1"/>
    </cacheField>
    <cacheField name="Windspeed" numFmtId="2">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36"/>
    </cacheField>
    <cacheField name="Total" numFmtId="0">
      <sharedItems containsSemiMixedTypes="0" containsString="0" containsNumber="1" containsInteger="1" minValue="1" maxValue="243"/>
    </cacheField>
    <cacheField name="Day" numFmtId="0">
      <sharedItems count="7">
        <s v="Saturday"/>
        <s v="Sunday"/>
        <s v="Monday"/>
        <s v="Tuesday"/>
        <s v="Wednesday"/>
        <s v="Thursday"/>
        <s v="Friday"/>
      </sharedItems>
    </cacheField>
    <cacheField name="Weather" numFmtId="0">
      <sharedItems count="3">
        <s v="1 Clear"/>
        <s v="2 Misty/Cloudy"/>
        <s v="3 Light Snow/Rain"/>
      </sharedItems>
    </cacheField>
    <cacheField name="Windspeed Bucket" numFmtId="0">
      <sharedItems/>
    </cacheField>
    <cacheField name="Humidity Bucket" numFmtId="0">
      <sharedItems/>
    </cacheField>
    <cacheField name="Days (Date)" numFmtId="0" databaseField="0">
      <fieldGroup base="1">
        <rangePr groupBy="days" startDate="2011-01-28T00:00:00" endDate="2011-02-15T00:00:00"/>
        <groupItems count="368">
          <s v="&lt;28-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28T00:00:00" endDate="2011-02-15T00:00:00"/>
        <groupItems count="14">
          <s v="&lt;28-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494021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n v="620"/>
    <x v="0"/>
    <n v="1"/>
    <x v="0"/>
    <s v="False"/>
    <n v="6"/>
    <n v="1"/>
    <n v="0.22"/>
    <n v="0.2273"/>
    <n v="0.64"/>
    <n v="0.19400000000000001"/>
    <n v="0"/>
    <n v="20"/>
    <n v="20"/>
    <x v="0"/>
    <x v="0"/>
    <s v="0.10-0.20"/>
    <s v="0.60-0.70"/>
  </r>
  <r>
    <n v="621"/>
    <x v="0"/>
    <n v="1"/>
    <x v="1"/>
    <s v="False"/>
    <n v="6"/>
    <n v="1"/>
    <n v="0.22"/>
    <n v="0.2273"/>
    <n v="0.64"/>
    <n v="0.16420000000000001"/>
    <n v="0"/>
    <n v="15"/>
    <n v="15"/>
    <x v="0"/>
    <x v="0"/>
    <s v="0.10-0.20"/>
    <s v="0.60-0.70"/>
  </r>
  <r>
    <n v="622"/>
    <x v="0"/>
    <n v="1"/>
    <x v="2"/>
    <s v="False"/>
    <n v="6"/>
    <n v="1"/>
    <n v="0.2"/>
    <n v="0.21210000000000001"/>
    <n v="0.64"/>
    <n v="0.1343"/>
    <n v="3"/>
    <n v="5"/>
    <n v="8"/>
    <x v="0"/>
    <x v="0"/>
    <s v="0.10-0.20"/>
    <s v="0.60-0.70"/>
  </r>
  <r>
    <n v="623"/>
    <x v="0"/>
    <n v="1"/>
    <x v="3"/>
    <s v="False"/>
    <n v="6"/>
    <n v="1"/>
    <n v="0.16"/>
    <n v="0.18179999999999999"/>
    <n v="0.69"/>
    <n v="0.1045"/>
    <n v="1"/>
    <n v="2"/>
    <n v="3"/>
    <x v="0"/>
    <x v="0"/>
    <s v="0.10-0.20"/>
    <s v="0.60-0.70"/>
  </r>
  <r>
    <n v="624"/>
    <x v="0"/>
    <n v="1"/>
    <x v="4"/>
    <s v="False"/>
    <n v="6"/>
    <n v="1"/>
    <n v="0.16"/>
    <n v="0.18179999999999999"/>
    <n v="0.64"/>
    <n v="0.1343"/>
    <n v="0"/>
    <n v="2"/>
    <n v="2"/>
    <x v="0"/>
    <x v="0"/>
    <s v="0.10-0.20"/>
    <s v="0.60-0.70"/>
  </r>
  <r>
    <n v="625"/>
    <x v="0"/>
    <n v="1"/>
    <x v="5"/>
    <s v="False"/>
    <n v="6"/>
    <n v="1"/>
    <n v="0.16"/>
    <n v="0.18179999999999999"/>
    <n v="0.59"/>
    <n v="0.1045"/>
    <n v="1"/>
    <n v="4"/>
    <n v="5"/>
    <x v="0"/>
    <x v="0"/>
    <s v="0.10-0.20"/>
    <s v="0.50-0.60"/>
  </r>
  <r>
    <n v="626"/>
    <x v="0"/>
    <n v="1"/>
    <x v="6"/>
    <s v="False"/>
    <n v="6"/>
    <n v="1"/>
    <n v="0.18"/>
    <n v="0.19700000000000001"/>
    <n v="0.55000000000000004"/>
    <n v="0.16420000000000001"/>
    <n v="3"/>
    <n v="31"/>
    <n v="34"/>
    <x v="0"/>
    <x v="0"/>
    <s v="0.10-0.20"/>
    <s v="0.50-0.60"/>
  </r>
  <r>
    <n v="627"/>
    <x v="0"/>
    <n v="1"/>
    <x v="7"/>
    <s v="False"/>
    <n v="6"/>
    <n v="1"/>
    <n v="0.18"/>
    <n v="0.21210000000000001"/>
    <n v="0.59"/>
    <n v="8.9599999999999999E-2"/>
    <n v="0"/>
    <n v="34"/>
    <n v="34"/>
    <x v="0"/>
    <x v="0"/>
    <s v="0.00 -0.10"/>
    <s v="0.50-0.60"/>
  </r>
  <r>
    <n v="628"/>
    <x v="0"/>
    <n v="1"/>
    <x v="8"/>
    <s v="False"/>
    <n v="6"/>
    <n v="2"/>
    <n v="0.18"/>
    <n v="0.21210000000000001"/>
    <n v="0.64"/>
    <n v="0.1045"/>
    <n v="4"/>
    <n v="51"/>
    <n v="55"/>
    <x v="0"/>
    <x v="1"/>
    <s v="0.10-0.20"/>
    <s v="0.60-0.70"/>
  </r>
  <r>
    <n v="629"/>
    <x v="0"/>
    <n v="1"/>
    <x v="9"/>
    <s v="False"/>
    <n v="6"/>
    <n v="2"/>
    <n v="0.18"/>
    <n v="0.19700000000000001"/>
    <n v="0.64"/>
    <n v="0.1343"/>
    <n v="4"/>
    <n v="60"/>
    <n v="64"/>
    <x v="0"/>
    <x v="1"/>
    <s v="0.10-0.20"/>
    <s v="0.60-0.70"/>
  </r>
  <r>
    <n v="630"/>
    <x v="0"/>
    <n v="1"/>
    <x v="10"/>
    <s v="False"/>
    <n v="6"/>
    <n v="2"/>
    <n v="0.2"/>
    <n v="0.19700000000000001"/>
    <n v="0.59"/>
    <n v="0.19400000000000001"/>
    <n v="12"/>
    <n v="66"/>
    <n v="78"/>
    <x v="0"/>
    <x v="1"/>
    <s v="0.10-0.20"/>
    <s v="0.50-0.60"/>
  </r>
  <r>
    <n v="631"/>
    <x v="0"/>
    <n v="1"/>
    <x v="11"/>
    <s v="False"/>
    <n v="6"/>
    <n v="2"/>
    <n v="0.22"/>
    <n v="0.2273"/>
    <n v="0.55000000000000004"/>
    <n v="0.16420000000000001"/>
    <n v="9"/>
    <n v="56"/>
    <n v="65"/>
    <x v="0"/>
    <x v="1"/>
    <s v="0.10-0.20"/>
    <s v="0.50-0.60"/>
  </r>
  <r>
    <n v="632"/>
    <x v="0"/>
    <n v="1"/>
    <x v="12"/>
    <s v="False"/>
    <n v="6"/>
    <n v="2"/>
    <n v="0.22"/>
    <n v="0.2273"/>
    <n v="0.6"/>
    <n v="0.1343"/>
    <n v="10"/>
    <n v="89"/>
    <n v="99"/>
    <x v="0"/>
    <x v="1"/>
    <s v="0.10-0.20"/>
    <s v="0.50-0.60"/>
  </r>
  <r>
    <n v="633"/>
    <x v="0"/>
    <n v="1"/>
    <x v="13"/>
    <s v="False"/>
    <n v="6"/>
    <n v="1"/>
    <n v="0.22"/>
    <n v="0.21210000000000001"/>
    <n v="0.69"/>
    <n v="0.25369999999999998"/>
    <n v="22"/>
    <n v="98"/>
    <n v="120"/>
    <x v="0"/>
    <x v="0"/>
    <s v="0.20-0.30"/>
    <s v="0.60-0.70"/>
  </r>
  <r>
    <n v="634"/>
    <x v="0"/>
    <n v="1"/>
    <x v="14"/>
    <s v="False"/>
    <n v="6"/>
    <n v="1"/>
    <n v="0.24"/>
    <n v="0.2424"/>
    <n v="0.6"/>
    <n v="0.16420000000000001"/>
    <n v="19"/>
    <n v="88"/>
    <n v="107"/>
    <x v="0"/>
    <x v="0"/>
    <s v="0.10-0.20"/>
    <s v="0.50-0.60"/>
  </r>
  <r>
    <n v="635"/>
    <x v="0"/>
    <n v="1"/>
    <x v="15"/>
    <s v="False"/>
    <n v="6"/>
    <n v="1"/>
    <n v="0.24"/>
    <n v="0.28789999999999999"/>
    <n v="0.6"/>
    <n v="0"/>
    <n v="9"/>
    <n v="82"/>
    <n v="91"/>
    <x v="0"/>
    <x v="0"/>
    <s v="0.00 -0.10"/>
    <s v="0.50-0.60"/>
  </r>
  <r>
    <n v="636"/>
    <x v="0"/>
    <n v="1"/>
    <x v="16"/>
    <s v="False"/>
    <n v="6"/>
    <n v="1"/>
    <n v="0.22"/>
    <n v="0.2273"/>
    <n v="0.69"/>
    <n v="0.1343"/>
    <n v="9"/>
    <n v="59"/>
    <n v="68"/>
    <x v="0"/>
    <x v="0"/>
    <s v="0.10-0.20"/>
    <s v="0.60-0.70"/>
  </r>
  <r>
    <n v="637"/>
    <x v="0"/>
    <n v="1"/>
    <x v="17"/>
    <s v="False"/>
    <n v="6"/>
    <n v="2"/>
    <n v="0.22"/>
    <n v="0.21210000000000001"/>
    <n v="0.69"/>
    <n v="0.25369999999999998"/>
    <n v="6"/>
    <n v="52"/>
    <n v="58"/>
    <x v="0"/>
    <x v="1"/>
    <s v="0.20-0.30"/>
    <s v="0.60-0.70"/>
  </r>
  <r>
    <n v="638"/>
    <x v="0"/>
    <n v="1"/>
    <x v="18"/>
    <s v="False"/>
    <n v="6"/>
    <n v="1"/>
    <n v="0.18"/>
    <n v="0.21210000000000001"/>
    <n v="0.74"/>
    <n v="8.9599999999999999E-2"/>
    <n v="1"/>
    <n v="42"/>
    <n v="43"/>
    <x v="0"/>
    <x v="0"/>
    <s v="0.00 -0.10"/>
    <s v="0.70-0.80"/>
  </r>
  <r>
    <n v="639"/>
    <x v="0"/>
    <n v="1"/>
    <x v="19"/>
    <s v="False"/>
    <n v="6"/>
    <n v="1"/>
    <n v="0.18"/>
    <n v="0.21210000000000001"/>
    <n v="0.74"/>
    <n v="8.9599999999999999E-2"/>
    <n v="1"/>
    <n v="35"/>
    <n v="36"/>
    <x v="0"/>
    <x v="0"/>
    <s v="0.00 -0.10"/>
    <s v="0.70-0.80"/>
  </r>
  <r>
    <n v="640"/>
    <x v="0"/>
    <n v="1"/>
    <x v="20"/>
    <s v="False"/>
    <n v="6"/>
    <n v="1"/>
    <n v="0.16"/>
    <n v="0.19700000000000001"/>
    <n v="0.8"/>
    <n v="8.9599999999999999E-2"/>
    <n v="4"/>
    <n v="28"/>
    <n v="32"/>
    <x v="0"/>
    <x v="0"/>
    <s v="0.00 -0.10"/>
    <s v="0.70-0.80"/>
  </r>
  <r>
    <n v="641"/>
    <x v="0"/>
    <n v="1"/>
    <x v="21"/>
    <s v="False"/>
    <n v="6"/>
    <n v="1"/>
    <n v="0.16"/>
    <n v="0.19700000000000001"/>
    <n v="0.8"/>
    <n v="8.9599999999999999E-2"/>
    <n v="3"/>
    <n v="30"/>
    <n v="33"/>
    <x v="0"/>
    <x v="0"/>
    <s v="0.00 -0.10"/>
    <s v="0.70-0.80"/>
  </r>
  <r>
    <n v="642"/>
    <x v="1"/>
    <n v="1"/>
    <x v="22"/>
    <s v="False"/>
    <n v="0"/>
    <n v="1"/>
    <n v="0.16"/>
    <n v="0.18179999999999999"/>
    <n v="0.8"/>
    <n v="0.1045"/>
    <n v="0"/>
    <n v="33"/>
    <n v="33"/>
    <x v="1"/>
    <x v="0"/>
    <s v="0.10-0.20"/>
    <s v="0.70-0.80"/>
  </r>
  <r>
    <n v="643"/>
    <x v="1"/>
    <n v="1"/>
    <x v="0"/>
    <s v="False"/>
    <n v="0"/>
    <n v="1"/>
    <n v="0.14000000000000001"/>
    <n v="0.21210000000000001"/>
    <n v="0.8"/>
    <n v="0"/>
    <n v="7"/>
    <n v="22"/>
    <n v="29"/>
    <x v="1"/>
    <x v="0"/>
    <s v="0.00 -0.10"/>
    <s v="0.70-0.80"/>
  </r>
  <r>
    <n v="644"/>
    <x v="1"/>
    <n v="1"/>
    <x v="1"/>
    <s v="False"/>
    <n v="0"/>
    <n v="1"/>
    <n v="0.16"/>
    <n v="0.2273"/>
    <n v="0.8"/>
    <n v="0"/>
    <n v="1"/>
    <n v="10"/>
    <n v="11"/>
    <x v="1"/>
    <x v="0"/>
    <s v="0.00 -0.10"/>
    <s v="0.70-0.80"/>
  </r>
  <r>
    <n v="645"/>
    <x v="1"/>
    <n v="1"/>
    <x v="2"/>
    <s v="False"/>
    <n v="0"/>
    <n v="1"/>
    <n v="0.14000000000000001"/>
    <n v="0.21210000000000001"/>
    <n v="0.93"/>
    <n v="0"/>
    <n v="1"/>
    <n v="7"/>
    <n v="8"/>
    <x v="1"/>
    <x v="0"/>
    <s v="0.00 -0.10"/>
    <s v="0.90-1.00"/>
  </r>
  <r>
    <n v="646"/>
    <x v="1"/>
    <n v="1"/>
    <x v="3"/>
    <s v="False"/>
    <n v="0"/>
    <n v="1"/>
    <n v="0.14000000000000001"/>
    <n v="0.21210000000000001"/>
    <n v="0.93"/>
    <n v="0"/>
    <n v="0"/>
    <n v="1"/>
    <n v="1"/>
    <x v="1"/>
    <x v="0"/>
    <s v="0.00 -0.10"/>
    <s v="0.90-1.00"/>
  </r>
  <r>
    <n v="647"/>
    <x v="1"/>
    <n v="1"/>
    <x v="23"/>
    <s v="False"/>
    <n v="0"/>
    <n v="1"/>
    <n v="0.14000000000000001"/>
    <n v="0.21210000000000001"/>
    <n v="0.86"/>
    <n v="0"/>
    <n v="0"/>
    <n v="3"/>
    <n v="3"/>
    <x v="1"/>
    <x v="0"/>
    <s v="0.00 -0.10"/>
    <s v="0.80-0.90"/>
  </r>
  <r>
    <n v="648"/>
    <x v="1"/>
    <n v="1"/>
    <x v="5"/>
    <s v="False"/>
    <n v="0"/>
    <n v="1"/>
    <n v="0.14000000000000001"/>
    <n v="0.21210000000000001"/>
    <n v="0.86"/>
    <n v="0"/>
    <n v="0"/>
    <n v="3"/>
    <n v="3"/>
    <x v="1"/>
    <x v="0"/>
    <s v="0.00 -0.10"/>
    <s v="0.80-0.90"/>
  </r>
  <r>
    <n v="649"/>
    <x v="1"/>
    <n v="1"/>
    <x v="6"/>
    <s v="False"/>
    <n v="0"/>
    <n v="2"/>
    <n v="0.14000000000000001"/>
    <n v="0.21210000000000001"/>
    <n v="0.86"/>
    <n v="0"/>
    <n v="1"/>
    <n v="11"/>
    <n v="12"/>
    <x v="1"/>
    <x v="1"/>
    <s v="0.00 -0.10"/>
    <s v="0.80-0.90"/>
  </r>
  <r>
    <n v="650"/>
    <x v="1"/>
    <n v="1"/>
    <x v="7"/>
    <s v="False"/>
    <n v="0"/>
    <n v="2"/>
    <n v="0.16"/>
    <n v="0.2273"/>
    <n v="0.8"/>
    <n v="0"/>
    <n v="4"/>
    <n v="34"/>
    <n v="38"/>
    <x v="1"/>
    <x v="1"/>
    <s v="0.00 -0.10"/>
    <s v="0.70-0.80"/>
  </r>
  <r>
    <n v="651"/>
    <x v="1"/>
    <n v="1"/>
    <x v="8"/>
    <s v="False"/>
    <n v="0"/>
    <n v="2"/>
    <n v="0.18"/>
    <n v="0.2424"/>
    <n v="0.8"/>
    <n v="0"/>
    <n v="7"/>
    <n v="57"/>
    <n v="64"/>
    <x v="1"/>
    <x v="1"/>
    <s v="0.00 -0.10"/>
    <s v="0.70-0.80"/>
  </r>
  <r>
    <n v="652"/>
    <x v="1"/>
    <n v="1"/>
    <x v="9"/>
    <s v="False"/>
    <n v="0"/>
    <n v="1"/>
    <n v="0.22"/>
    <n v="0.2727"/>
    <n v="0.75"/>
    <n v="0"/>
    <n v="9"/>
    <n v="50"/>
    <n v="59"/>
    <x v="1"/>
    <x v="0"/>
    <s v="0.00 -0.10"/>
    <s v="0.70-0.80"/>
  </r>
  <r>
    <n v="653"/>
    <x v="1"/>
    <n v="1"/>
    <x v="10"/>
    <s v="False"/>
    <n v="0"/>
    <n v="1"/>
    <n v="0.3"/>
    <n v="0.31819999999999998"/>
    <n v="0.52"/>
    <n v="0.1045"/>
    <n v="10"/>
    <n v="87"/>
    <n v="97"/>
    <x v="1"/>
    <x v="0"/>
    <s v="0.10-0.20"/>
    <s v="0.50-0.60"/>
  </r>
  <r>
    <n v="654"/>
    <x v="1"/>
    <n v="1"/>
    <x v="11"/>
    <s v="False"/>
    <n v="0"/>
    <n v="1"/>
    <n v="0.28000000000000003"/>
    <n v="0.28789999999999999"/>
    <n v="0.61"/>
    <n v="0.1045"/>
    <n v="13"/>
    <n v="71"/>
    <n v="84"/>
    <x v="1"/>
    <x v="0"/>
    <s v="0.10-0.20"/>
    <s v="0.60-0.70"/>
  </r>
  <r>
    <n v="655"/>
    <x v="1"/>
    <n v="1"/>
    <x v="12"/>
    <s v="False"/>
    <n v="0"/>
    <n v="1"/>
    <n v="0.28000000000000003"/>
    <n v="0.30299999999999999"/>
    <n v="0.61"/>
    <n v="8.9599999999999999E-2"/>
    <n v="18"/>
    <n v="104"/>
    <n v="122"/>
    <x v="1"/>
    <x v="0"/>
    <s v="0.00 -0.10"/>
    <s v="0.60-0.70"/>
  </r>
  <r>
    <n v="656"/>
    <x v="1"/>
    <n v="1"/>
    <x v="13"/>
    <s v="False"/>
    <n v="0"/>
    <n v="1"/>
    <n v="0.3"/>
    <n v="0.33329999999999999"/>
    <n v="0.56000000000000005"/>
    <n v="0"/>
    <n v="14"/>
    <n v="95"/>
    <n v="109"/>
    <x v="1"/>
    <x v="0"/>
    <s v="0.00 -0.10"/>
    <s v="0.50-0.60"/>
  </r>
  <r>
    <n v="657"/>
    <x v="1"/>
    <n v="1"/>
    <x v="14"/>
    <s v="False"/>
    <n v="0"/>
    <n v="1"/>
    <n v="0.3"/>
    <n v="0.33329999999999999"/>
    <n v="0.56000000000000005"/>
    <n v="0"/>
    <n v="19"/>
    <n v="104"/>
    <n v="123"/>
    <x v="1"/>
    <x v="0"/>
    <s v="0.00 -0.10"/>
    <s v="0.50-0.60"/>
  </r>
  <r>
    <n v="658"/>
    <x v="1"/>
    <n v="1"/>
    <x v="15"/>
    <s v="False"/>
    <n v="0"/>
    <n v="1"/>
    <n v="0.3"/>
    <n v="0.28789999999999999"/>
    <n v="0.56000000000000005"/>
    <n v="0.19400000000000001"/>
    <n v="6"/>
    <n v="71"/>
    <n v="77"/>
    <x v="1"/>
    <x v="0"/>
    <s v="0.10-0.20"/>
    <s v="0.50-0.60"/>
  </r>
  <r>
    <n v="659"/>
    <x v="1"/>
    <n v="1"/>
    <x v="16"/>
    <s v="False"/>
    <n v="0"/>
    <n v="1"/>
    <n v="0.26"/>
    <n v="0.2576"/>
    <n v="0.65"/>
    <n v="0.16420000000000001"/>
    <n v="8"/>
    <n v="57"/>
    <n v="65"/>
    <x v="1"/>
    <x v="0"/>
    <s v="0.10-0.20"/>
    <s v="0.60-0.70"/>
  </r>
  <r>
    <n v="660"/>
    <x v="1"/>
    <n v="1"/>
    <x v="17"/>
    <s v="False"/>
    <n v="0"/>
    <n v="1"/>
    <n v="0.26"/>
    <n v="0.2576"/>
    <n v="0.65"/>
    <n v="0.19400000000000001"/>
    <n v="9"/>
    <n v="46"/>
    <n v="55"/>
    <x v="1"/>
    <x v="0"/>
    <s v="0.10-0.20"/>
    <s v="0.60-0.70"/>
  </r>
  <r>
    <n v="661"/>
    <x v="1"/>
    <n v="1"/>
    <x v="18"/>
    <s v="False"/>
    <n v="0"/>
    <n v="2"/>
    <n v="0.26"/>
    <n v="0.2727"/>
    <n v="0.65"/>
    <n v="0.1045"/>
    <n v="3"/>
    <n v="30"/>
    <n v="33"/>
    <x v="1"/>
    <x v="1"/>
    <s v="0.10-0.20"/>
    <s v="0.60-0.70"/>
  </r>
  <r>
    <n v="662"/>
    <x v="1"/>
    <n v="1"/>
    <x v="19"/>
    <s v="False"/>
    <n v="0"/>
    <n v="2"/>
    <n v="0.24"/>
    <n v="0.2424"/>
    <n v="0.7"/>
    <n v="0.16420000000000001"/>
    <n v="3"/>
    <n v="25"/>
    <n v="28"/>
    <x v="1"/>
    <x v="1"/>
    <s v="0.10-0.20"/>
    <s v="0.60-0.70"/>
  </r>
  <r>
    <n v="663"/>
    <x v="1"/>
    <n v="1"/>
    <x v="20"/>
    <s v="False"/>
    <n v="0"/>
    <n v="2"/>
    <n v="0.24"/>
    <n v="0.2273"/>
    <n v="0.7"/>
    <n v="0.19400000000000001"/>
    <n v="2"/>
    <n v="19"/>
    <n v="21"/>
    <x v="1"/>
    <x v="1"/>
    <s v="0.10-0.20"/>
    <s v="0.60-0.70"/>
  </r>
  <r>
    <n v="664"/>
    <x v="1"/>
    <n v="1"/>
    <x v="21"/>
    <s v="False"/>
    <n v="0"/>
    <n v="2"/>
    <n v="0.24"/>
    <n v="0.21210000000000001"/>
    <n v="0.65"/>
    <n v="0.28360000000000002"/>
    <n v="5"/>
    <n v="16"/>
    <n v="21"/>
    <x v="1"/>
    <x v="1"/>
    <s v="0.20-0.30"/>
    <s v="0.60-0.70"/>
  </r>
  <r>
    <n v="665"/>
    <x v="2"/>
    <n v="1"/>
    <x v="22"/>
    <s v="False"/>
    <n v="1"/>
    <n v="2"/>
    <n v="0.24"/>
    <n v="0.2273"/>
    <n v="0.65"/>
    <n v="0.22389999999999999"/>
    <n v="1"/>
    <n v="6"/>
    <n v="7"/>
    <x v="2"/>
    <x v="1"/>
    <s v="0.20-0.30"/>
    <s v="0.60-0.70"/>
  </r>
  <r>
    <n v="666"/>
    <x v="2"/>
    <n v="1"/>
    <x v="0"/>
    <s v="False"/>
    <n v="1"/>
    <n v="1"/>
    <n v="0.22"/>
    <n v="0.21210000000000001"/>
    <n v="0.64"/>
    <n v="0.25369999999999998"/>
    <n v="2"/>
    <n v="5"/>
    <n v="7"/>
    <x v="2"/>
    <x v="0"/>
    <s v="0.20-0.30"/>
    <s v="0.60-0.70"/>
  </r>
  <r>
    <n v="667"/>
    <x v="2"/>
    <n v="1"/>
    <x v="1"/>
    <s v="False"/>
    <n v="1"/>
    <n v="1"/>
    <n v="0.22"/>
    <n v="0.2273"/>
    <n v="0.64"/>
    <n v="0.19400000000000001"/>
    <n v="0"/>
    <n v="1"/>
    <n v="1"/>
    <x v="2"/>
    <x v="0"/>
    <s v="0.10-0.20"/>
    <s v="0.60-0.70"/>
  </r>
  <r>
    <n v="668"/>
    <x v="2"/>
    <n v="1"/>
    <x v="2"/>
    <s v="False"/>
    <n v="1"/>
    <n v="1"/>
    <n v="0.22"/>
    <n v="0.2273"/>
    <n v="0.64"/>
    <n v="0.19400000000000001"/>
    <n v="0"/>
    <n v="2"/>
    <n v="2"/>
    <x v="2"/>
    <x v="0"/>
    <s v="0.10-0.20"/>
    <s v="0.60-0.70"/>
  </r>
  <r>
    <n v="669"/>
    <x v="2"/>
    <n v="1"/>
    <x v="3"/>
    <s v="False"/>
    <n v="1"/>
    <n v="1"/>
    <n v="0.2"/>
    <n v="0.19700000000000001"/>
    <n v="0.59"/>
    <n v="0.22389999999999999"/>
    <n v="0"/>
    <n v="2"/>
    <n v="2"/>
    <x v="2"/>
    <x v="0"/>
    <s v="0.20-0.30"/>
    <s v="0.50-0.60"/>
  </r>
  <r>
    <n v="670"/>
    <x v="2"/>
    <n v="1"/>
    <x v="23"/>
    <s v="False"/>
    <n v="1"/>
    <n v="1"/>
    <n v="0.18"/>
    <n v="0.16669999999999999"/>
    <n v="0.64"/>
    <n v="0.28360000000000002"/>
    <n v="0"/>
    <n v="8"/>
    <n v="8"/>
    <x v="2"/>
    <x v="0"/>
    <s v="0.20-0.30"/>
    <s v="0.60-0.70"/>
  </r>
  <r>
    <n v="671"/>
    <x v="2"/>
    <n v="1"/>
    <x v="4"/>
    <s v="False"/>
    <n v="1"/>
    <n v="1"/>
    <n v="0.16"/>
    <n v="0.13639999999999999"/>
    <n v="0.69"/>
    <n v="0.32840000000000003"/>
    <n v="0"/>
    <n v="37"/>
    <n v="37"/>
    <x v="2"/>
    <x v="0"/>
    <s v="0.30-0.40"/>
    <s v="0.60-0.70"/>
  </r>
  <r>
    <n v="672"/>
    <x v="2"/>
    <n v="1"/>
    <x v="5"/>
    <s v="False"/>
    <n v="1"/>
    <n v="2"/>
    <n v="0.16"/>
    <n v="0.13639999999999999"/>
    <n v="0.64"/>
    <n v="0.28360000000000002"/>
    <n v="1"/>
    <n v="71"/>
    <n v="72"/>
    <x v="2"/>
    <x v="1"/>
    <s v="0.20-0.30"/>
    <s v="0.60-0.70"/>
  </r>
  <r>
    <n v="673"/>
    <x v="2"/>
    <n v="1"/>
    <x v="6"/>
    <s v="False"/>
    <n v="1"/>
    <n v="2"/>
    <n v="0.16"/>
    <n v="0.13639999999999999"/>
    <n v="0.59"/>
    <n v="0.28360000000000002"/>
    <n v="3"/>
    <n v="182"/>
    <n v="185"/>
    <x v="2"/>
    <x v="1"/>
    <s v="0.20-0.30"/>
    <s v="0.50-0.60"/>
  </r>
  <r>
    <n v="674"/>
    <x v="2"/>
    <n v="1"/>
    <x v="7"/>
    <s v="False"/>
    <n v="1"/>
    <n v="2"/>
    <n v="0.16"/>
    <n v="0.13639999999999999"/>
    <n v="0.59"/>
    <n v="0.29849999999999999"/>
    <n v="0"/>
    <n v="112"/>
    <n v="112"/>
    <x v="2"/>
    <x v="1"/>
    <s v="0.20-0.30"/>
    <s v="0.50-0.60"/>
  </r>
  <r>
    <n v="675"/>
    <x v="2"/>
    <n v="1"/>
    <x v="8"/>
    <s v="False"/>
    <n v="1"/>
    <n v="2"/>
    <n v="0.16"/>
    <n v="0.1515"/>
    <n v="0.59"/>
    <n v="0.19400000000000001"/>
    <n v="1"/>
    <n v="68"/>
    <n v="69"/>
    <x v="2"/>
    <x v="1"/>
    <s v="0.10-0.20"/>
    <s v="0.50-0.60"/>
  </r>
  <r>
    <n v="676"/>
    <x v="2"/>
    <n v="1"/>
    <x v="9"/>
    <s v="False"/>
    <n v="1"/>
    <n v="2"/>
    <n v="0.16"/>
    <n v="0.1515"/>
    <n v="0.59"/>
    <n v="0.19400000000000001"/>
    <n v="2"/>
    <n v="46"/>
    <n v="48"/>
    <x v="2"/>
    <x v="1"/>
    <s v="0.10-0.20"/>
    <s v="0.50-0.60"/>
  </r>
  <r>
    <n v="677"/>
    <x v="2"/>
    <n v="1"/>
    <x v="10"/>
    <s v="False"/>
    <n v="1"/>
    <n v="2"/>
    <n v="0.18"/>
    <n v="0.21210000000000001"/>
    <n v="0.55000000000000004"/>
    <n v="0.1045"/>
    <n v="6"/>
    <n v="62"/>
    <n v="68"/>
    <x v="2"/>
    <x v="1"/>
    <s v="0.10-0.20"/>
    <s v="0.50-0.60"/>
  </r>
  <r>
    <n v="678"/>
    <x v="2"/>
    <n v="1"/>
    <x v="11"/>
    <s v="False"/>
    <n v="1"/>
    <n v="2"/>
    <n v="0.16"/>
    <n v="0.2273"/>
    <n v="0.59"/>
    <n v="0"/>
    <n v="2"/>
    <n v="52"/>
    <n v="54"/>
    <x v="2"/>
    <x v="1"/>
    <s v="0.00 -0.10"/>
    <s v="0.50-0.60"/>
  </r>
  <r>
    <n v="679"/>
    <x v="2"/>
    <n v="1"/>
    <x v="12"/>
    <s v="False"/>
    <n v="1"/>
    <n v="2"/>
    <n v="0.18"/>
    <n v="0.19700000000000001"/>
    <n v="0.55000000000000004"/>
    <n v="0.1343"/>
    <n v="1"/>
    <n v="85"/>
    <n v="86"/>
    <x v="2"/>
    <x v="1"/>
    <s v="0.10-0.20"/>
    <s v="0.50-0.60"/>
  </r>
  <r>
    <n v="680"/>
    <x v="2"/>
    <n v="1"/>
    <x v="13"/>
    <s v="False"/>
    <n v="1"/>
    <n v="2"/>
    <n v="0.16"/>
    <n v="0.18179999999999999"/>
    <n v="0.59"/>
    <n v="0.1343"/>
    <n v="3"/>
    <n v="41"/>
    <n v="44"/>
    <x v="2"/>
    <x v="1"/>
    <s v="0.10-0.20"/>
    <s v="0.50-0.60"/>
  </r>
  <r>
    <n v="681"/>
    <x v="2"/>
    <n v="1"/>
    <x v="14"/>
    <s v="False"/>
    <n v="1"/>
    <n v="2"/>
    <n v="0.16"/>
    <n v="0.18179999999999999"/>
    <n v="0.56000000000000005"/>
    <n v="0.19400000000000001"/>
    <n v="3"/>
    <n v="83"/>
    <n v="86"/>
    <x v="2"/>
    <x v="1"/>
    <s v="0.10-0.20"/>
    <s v="0.50-0.60"/>
  </r>
  <r>
    <n v="682"/>
    <x v="2"/>
    <n v="1"/>
    <x v="15"/>
    <s v="False"/>
    <n v="1"/>
    <n v="2"/>
    <n v="0.16"/>
    <n v="0.1515"/>
    <n v="0.59"/>
    <n v="0.19400000000000001"/>
    <n v="6"/>
    <n v="155"/>
    <n v="161"/>
    <x v="2"/>
    <x v="1"/>
    <s v="0.10-0.20"/>
    <s v="0.50-0.60"/>
  </r>
  <r>
    <n v="683"/>
    <x v="2"/>
    <n v="1"/>
    <x v="16"/>
    <s v="False"/>
    <n v="1"/>
    <n v="2"/>
    <n v="0.16"/>
    <n v="0.1515"/>
    <n v="0.55000000000000004"/>
    <n v="0.22389999999999999"/>
    <n v="3"/>
    <n v="153"/>
    <n v="156"/>
    <x v="2"/>
    <x v="1"/>
    <s v="0.20-0.30"/>
    <s v="0.50-0.60"/>
  </r>
  <r>
    <n v="684"/>
    <x v="2"/>
    <n v="1"/>
    <x v="17"/>
    <s v="False"/>
    <n v="1"/>
    <n v="1"/>
    <n v="0.3"/>
    <n v="0.31819999999999998"/>
    <n v="0.61"/>
    <n v="0.1045"/>
    <n v="3"/>
    <n v="108"/>
    <n v="111"/>
    <x v="2"/>
    <x v="0"/>
    <s v="0.10-0.20"/>
    <s v="0.60-0.70"/>
  </r>
  <r>
    <n v="685"/>
    <x v="2"/>
    <n v="1"/>
    <x v="18"/>
    <s v="False"/>
    <n v="1"/>
    <n v="3"/>
    <n v="0.16"/>
    <n v="0.16669999999999999"/>
    <n v="0.59"/>
    <n v="0.16420000000000001"/>
    <n v="0"/>
    <n v="78"/>
    <n v="78"/>
    <x v="2"/>
    <x v="2"/>
    <s v="0.10-0.20"/>
    <s v="0.50-0.60"/>
  </r>
  <r>
    <n v="686"/>
    <x v="2"/>
    <n v="1"/>
    <x v="19"/>
    <s v="False"/>
    <n v="1"/>
    <n v="3"/>
    <n v="0.16"/>
    <n v="0.19700000000000001"/>
    <n v="0.59"/>
    <n v="8.9599999999999999E-2"/>
    <n v="3"/>
    <n v="53"/>
    <n v="56"/>
    <x v="2"/>
    <x v="2"/>
    <s v="0.00 -0.10"/>
    <s v="0.50-0.60"/>
  </r>
  <r>
    <n v="687"/>
    <x v="2"/>
    <n v="1"/>
    <x v="20"/>
    <s v="False"/>
    <n v="1"/>
    <n v="2"/>
    <n v="0.16"/>
    <n v="0.18179999999999999"/>
    <n v="0.59"/>
    <n v="0.1045"/>
    <n v="0"/>
    <n v="34"/>
    <n v="34"/>
    <x v="2"/>
    <x v="1"/>
    <s v="0.10-0.20"/>
    <s v="0.50-0.60"/>
  </r>
  <r>
    <n v="688"/>
    <x v="2"/>
    <n v="1"/>
    <x v="21"/>
    <s v="False"/>
    <n v="1"/>
    <n v="2"/>
    <n v="0.16"/>
    <n v="0.19700000000000001"/>
    <n v="0.64"/>
    <n v="8.9599999999999999E-2"/>
    <n v="2"/>
    <n v="15"/>
    <n v="17"/>
    <x v="2"/>
    <x v="1"/>
    <s v="0.00 -0.10"/>
    <s v="0.60-0.70"/>
  </r>
  <r>
    <n v="689"/>
    <x v="3"/>
    <n v="1"/>
    <x v="22"/>
    <s v="False"/>
    <n v="2"/>
    <n v="2"/>
    <n v="0.16"/>
    <n v="0.18179999999999999"/>
    <n v="0.64"/>
    <n v="0.1045"/>
    <n v="2"/>
    <n v="6"/>
    <n v="8"/>
    <x v="3"/>
    <x v="1"/>
    <s v="0.10-0.20"/>
    <s v="0.60-0.70"/>
  </r>
  <r>
    <n v="690"/>
    <x v="3"/>
    <n v="1"/>
    <x v="0"/>
    <s v="False"/>
    <n v="2"/>
    <n v="2"/>
    <n v="0.16"/>
    <n v="0.18179999999999999"/>
    <n v="0.69"/>
    <n v="0.1045"/>
    <n v="0"/>
    <n v="3"/>
    <n v="3"/>
    <x v="3"/>
    <x v="1"/>
    <s v="0.10-0.20"/>
    <s v="0.60-0.70"/>
  </r>
  <r>
    <n v="691"/>
    <x v="3"/>
    <n v="1"/>
    <x v="1"/>
    <s v="False"/>
    <n v="2"/>
    <n v="2"/>
    <n v="0.16"/>
    <n v="0.2273"/>
    <n v="0.69"/>
    <n v="0"/>
    <n v="0"/>
    <n v="2"/>
    <n v="2"/>
    <x v="3"/>
    <x v="1"/>
    <s v="0.00 -0.10"/>
    <s v="0.60-0.70"/>
  </r>
  <r>
    <n v="692"/>
    <x v="3"/>
    <n v="1"/>
    <x v="2"/>
    <s v="False"/>
    <n v="2"/>
    <n v="2"/>
    <n v="0.16"/>
    <n v="0.2273"/>
    <n v="0.69"/>
    <n v="0"/>
    <n v="0"/>
    <n v="2"/>
    <n v="2"/>
    <x v="3"/>
    <x v="1"/>
    <s v="0.00 -0.10"/>
    <s v="0.60-0.70"/>
  </r>
  <r>
    <n v="693"/>
    <x v="3"/>
    <n v="1"/>
    <x v="23"/>
    <s v="False"/>
    <n v="2"/>
    <n v="3"/>
    <n v="0.14000000000000001"/>
    <n v="0.21210000000000001"/>
    <n v="0.93"/>
    <n v="0"/>
    <n v="0"/>
    <n v="3"/>
    <n v="3"/>
    <x v="3"/>
    <x v="2"/>
    <s v="0.00 -0.10"/>
    <s v="0.90-1.00"/>
  </r>
  <r>
    <n v="694"/>
    <x v="3"/>
    <n v="1"/>
    <x v="4"/>
    <s v="False"/>
    <n v="2"/>
    <n v="3"/>
    <n v="0.14000000000000001"/>
    <n v="0.21210000000000001"/>
    <n v="0.93"/>
    <n v="0"/>
    <n v="0"/>
    <n v="22"/>
    <n v="22"/>
    <x v="3"/>
    <x v="2"/>
    <s v="0.00 -0.10"/>
    <s v="0.90-1.00"/>
  </r>
  <r>
    <n v="695"/>
    <x v="3"/>
    <n v="1"/>
    <x v="5"/>
    <s v="False"/>
    <n v="2"/>
    <n v="3"/>
    <n v="0.16"/>
    <n v="0.2273"/>
    <n v="0.93"/>
    <n v="0"/>
    <n v="0"/>
    <n v="52"/>
    <n v="52"/>
    <x v="3"/>
    <x v="2"/>
    <s v="0.00 -0.10"/>
    <s v="0.90-1.00"/>
  </r>
  <r>
    <n v="696"/>
    <x v="3"/>
    <n v="1"/>
    <x v="6"/>
    <s v="False"/>
    <n v="2"/>
    <n v="3"/>
    <n v="0.16"/>
    <n v="0.2273"/>
    <n v="0.93"/>
    <n v="0"/>
    <n v="3"/>
    <n v="132"/>
    <n v="135"/>
    <x v="3"/>
    <x v="2"/>
    <s v="0.00 -0.10"/>
    <s v="0.90-1.00"/>
  </r>
  <r>
    <n v="697"/>
    <x v="3"/>
    <n v="1"/>
    <x v="7"/>
    <s v="False"/>
    <n v="2"/>
    <n v="2"/>
    <n v="0.16"/>
    <n v="0.2273"/>
    <n v="0.93"/>
    <n v="0"/>
    <n v="2"/>
    <n v="114"/>
    <n v="116"/>
    <x v="3"/>
    <x v="1"/>
    <s v="0.00 -0.10"/>
    <s v="0.90-1.00"/>
  </r>
  <r>
    <n v="698"/>
    <x v="3"/>
    <n v="1"/>
    <x v="8"/>
    <s v="False"/>
    <n v="2"/>
    <n v="2"/>
    <n v="0.16"/>
    <n v="0.2273"/>
    <n v="0.93"/>
    <n v="0"/>
    <n v="0"/>
    <n v="47"/>
    <n v="47"/>
    <x v="3"/>
    <x v="1"/>
    <s v="0.00 -0.10"/>
    <s v="0.90-1.00"/>
  </r>
  <r>
    <n v="699"/>
    <x v="3"/>
    <n v="1"/>
    <x v="9"/>
    <s v="False"/>
    <n v="2"/>
    <n v="2"/>
    <n v="0.18"/>
    <n v="0.2424"/>
    <n v="0.86"/>
    <n v="0"/>
    <n v="2"/>
    <n v="49"/>
    <n v="51"/>
    <x v="3"/>
    <x v="1"/>
    <s v="0.00 -0.10"/>
    <s v="0.80-0.90"/>
  </r>
  <r>
    <n v="700"/>
    <x v="3"/>
    <n v="1"/>
    <x v="10"/>
    <s v="False"/>
    <n v="2"/>
    <n v="2"/>
    <n v="0.2"/>
    <n v="0.2576"/>
    <n v="0.86"/>
    <n v="0"/>
    <n v="2"/>
    <n v="53"/>
    <n v="55"/>
    <x v="3"/>
    <x v="1"/>
    <s v="0.00 -0.10"/>
    <s v="0.80-0.90"/>
  </r>
  <r>
    <n v="701"/>
    <x v="3"/>
    <n v="1"/>
    <x v="11"/>
    <s v="False"/>
    <n v="2"/>
    <n v="2"/>
    <n v="0.2"/>
    <n v="0.2576"/>
    <n v="0.86"/>
    <n v="0"/>
    <n v="3"/>
    <n v="49"/>
    <n v="52"/>
    <x v="3"/>
    <x v="1"/>
    <s v="0.00 -0.10"/>
    <s v="0.80-0.90"/>
  </r>
  <r>
    <n v="702"/>
    <x v="3"/>
    <n v="1"/>
    <x v="12"/>
    <s v="False"/>
    <n v="2"/>
    <n v="2"/>
    <n v="0.22"/>
    <n v="0.2576"/>
    <n v="0.8"/>
    <n v="8.9599999999999999E-2"/>
    <n v="5"/>
    <n v="49"/>
    <n v="54"/>
    <x v="3"/>
    <x v="1"/>
    <s v="0.00 -0.10"/>
    <s v="0.70-0.80"/>
  </r>
  <r>
    <n v="703"/>
    <x v="3"/>
    <n v="1"/>
    <x v="13"/>
    <s v="False"/>
    <n v="2"/>
    <n v="2"/>
    <n v="0.24"/>
    <n v="0.28789999999999999"/>
    <n v="0.75"/>
    <n v="0"/>
    <n v="7"/>
    <n v="45"/>
    <n v="52"/>
    <x v="3"/>
    <x v="1"/>
    <s v="0.00 -0.10"/>
    <s v="0.70-0.80"/>
  </r>
  <r>
    <n v="704"/>
    <x v="3"/>
    <n v="1"/>
    <x v="14"/>
    <s v="False"/>
    <n v="2"/>
    <n v="2"/>
    <n v="0.24"/>
    <n v="0.2424"/>
    <n v="0.75"/>
    <n v="0.1343"/>
    <n v="3"/>
    <n v="61"/>
    <n v="64"/>
    <x v="3"/>
    <x v="1"/>
    <s v="0.10-0.20"/>
    <s v="0.70-0.80"/>
  </r>
  <r>
    <n v="705"/>
    <x v="3"/>
    <n v="1"/>
    <x v="15"/>
    <s v="False"/>
    <n v="2"/>
    <n v="2"/>
    <n v="0.24"/>
    <n v="0.28789999999999999"/>
    <n v="0.75"/>
    <n v="0"/>
    <n v="4"/>
    <n v="172"/>
    <n v="176"/>
    <x v="3"/>
    <x v="1"/>
    <s v="0.00 -0.10"/>
    <s v="0.70-0.80"/>
  </r>
  <r>
    <n v="706"/>
    <x v="3"/>
    <n v="1"/>
    <x v="16"/>
    <s v="False"/>
    <n v="2"/>
    <n v="2"/>
    <n v="0.24"/>
    <n v="0.2576"/>
    <n v="0.81"/>
    <n v="0.1045"/>
    <n v="3"/>
    <n v="165"/>
    <n v="168"/>
    <x v="3"/>
    <x v="1"/>
    <s v="0.10-0.20"/>
    <s v="0.80-0.90"/>
  </r>
  <r>
    <n v="707"/>
    <x v="3"/>
    <n v="1"/>
    <x v="17"/>
    <s v="False"/>
    <n v="2"/>
    <n v="2"/>
    <n v="0.24"/>
    <n v="0.2424"/>
    <n v="0.81"/>
    <n v="0.1343"/>
    <n v="3"/>
    <n v="105"/>
    <n v="108"/>
    <x v="3"/>
    <x v="1"/>
    <s v="0.10-0.20"/>
    <s v="0.80-0.90"/>
  </r>
  <r>
    <n v="708"/>
    <x v="3"/>
    <n v="1"/>
    <x v="18"/>
    <s v="False"/>
    <n v="2"/>
    <n v="2"/>
    <n v="0.22"/>
    <n v="0.2273"/>
    <n v="0.87"/>
    <n v="0.1343"/>
    <n v="5"/>
    <n v="69"/>
    <n v="74"/>
    <x v="3"/>
    <x v="1"/>
    <s v="0.10-0.20"/>
    <s v="0.80-0.90"/>
  </r>
  <r>
    <n v="709"/>
    <x v="3"/>
    <n v="1"/>
    <x v="19"/>
    <s v="False"/>
    <n v="2"/>
    <n v="2"/>
    <n v="0.22"/>
    <n v="0.2273"/>
    <n v="0.87"/>
    <n v="0.1343"/>
    <n v="0"/>
    <n v="64"/>
    <n v="64"/>
    <x v="3"/>
    <x v="1"/>
    <s v="0.10-0.20"/>
    <s v="0.80-0.90"/>
  </r>
  <r>
    <n v="710"/>
    <x v="3"/>
    <n v="1"/>
    <x v="20"/>
    <s v="False"/>
    <n v="2"/>
    <n v="2"/>
    <n v="0.22"/>
    <n v="0.2576"/>
    <n v="0.87"/>
    <n v="8.9599999999999999E-2"/>
    <n v="2"/>
    <n v="34"/>
    <n v="36"/>
    <x v="3"/>
    <x v="1"/>
    <s v="0.00 -0.10"/>
    <s v="0.80-0.90"/>
  </r>
  <r>
    <n v="711"/>
    <x v="3"/>
    <n v="1"/>
    <x v="21"/>
    <s v="False"/>
    <n v="2"/>
    <n v="3"/>
    <n v="0.2"/>
    <n v="0.19700000000000001"/>
    <n v="0.93"/>
    <n v="0.19400000000000001"/>
    <n v="1"/>
    <n v="15"/>
    <n v="16"/>
    <x v="3"/>
    <x v="2"/>
    <s v="0.10-0.20"/>
    <s v="0.90-1.00"/>
  </r>
  <r>
    <n v="712"/>
    <x v="4"/>
    <n v="1"/>
    <x v="22"/>
    <s v="False"/>
    <n v="3"/>
    <n v="3"/>
    <n v="0.22"/>
    <n v="0.2424"/>
    <n v="0.93"/>
    <n v="0.1045"/>
    <n v="0"/>
    <n v="2"/>
    <n v="2"/>
    <x v="4"/>
    <x v="2"/>
    <s v="0.10-0.20"/>
    <s v="0.90-1.00"/>
  </r>
  <r>
    <n v="713"/>
    <x v="4"/>
    <n v="1"/>
    <x v="0"/>
    <s v="False"/>
    <n v="3"/>
    <n v="3"/>
    <n v="0.22"/>
    <n v="0.2273"/>
    <n v="0.93"/>
    <n v="0.19400000000000001"/>
    <n v="0"/>
    <n v="3"/>
    <n v="3"/>
    <x v="4"/>
    <x v="2"/>
    <s v="0.10-0.20"/>
    <s v="0.90-1.00"/>
  </r>
  <r>
    <n v="714"/>
    <x v="4"/>
    <n v="1"/>
    <x v="1"/>
    <s v="False"/>
    <n v="3"/>
    <n v="3"/>
    <n v="0.22"/>
    <n v="0.2273"/>
    <n v="0.93"/>
    <n v="0.1343"/>
    <n v="4"/>
    <n v="0"/>
    <n v="4"/>
    <x v="4"/>
    <x v="2"/>
    <s v="0.10-0.20"/>
    <s v="0.90-1.00"/>
  </r>
  <r>
    <n v="715"/>
    <x v="4"/>
    <n v="1"/>
    <x v="2"/>
    <s v="False"/>
    <n v="3"/>
    <n v="3"/>
    <n v="0.22"/>
    <n v="0.2273"/>
    <n v="0.93"/>
    <n v="0.1343"/>
    <n v="0"/>
    <n v="1"/>
    <n v="1"/>
    <x v="4"/>
    <x v="2"/>
    <s v="0.10-0.20"/>
    <s v="0.90-1.00"/>
  </r>
  <r>
    <n v="716"/>
    <x v="4"/>
    <n v="1"/>
    <x v="3"/>
    <s v="False"/>
    <n v="3"/>
    <n v="3"/>
    <n v="0.22"/>
    <n v="0.21210000000000001"/>
    <n v="0.93"/>
    <n v="0.28360000000000002"/>
    <n v="0"/>
    <n v="1"/>
    <n v="1"/>
    <x v="4"/>
    <x v="2"/>
    <s v="0.20-0.30"/>
    <s v="0.90-1.00"/>
  </r>
  <r>
    <n v="717"/>
    <x v="4"/>
    <n v="1"/>
    <x v="23"/>
    <s v="False"/>
    <n v="3"/>
    <n v="3"/>
    <n v="0.22"/>
    <n v="0.2424"/>
    <n v="0.93"/>
    <n v="0.1045"/>
    <n v="0"/>
    <n v="3"/>
    <n v="3"/>
    <x v="4"/>
    <x v="2"/>
    <s v="0.10-0.20"/>
    <s v="0.90-1.00"/>
  </r>
  <r>
    <n v="718"/>
    <x v="4"/>
    <n v="1"/>
    <x v="4"/>
    <s v="False"/>
    <n v="3"/>
    <n v="3"/>
    <n v="0.22"/>
    <n v="0.2424"/>
    <n v="0.93"/>
    <n v="0.1045"/>
    <n v="1"/>
    <n v="17"/>
    <n v="18"/>
    <x v="4"/>
    <x v="2"/>
    <s v="0.10-0.20"/>
    <s v="0.90-1.00"/>
  </r>
  <r>
    <n v="719"/>
    <x v="4"/>
    <n v="1"/>
    <x v="5"/>
    <s v="False"/>
    <n v="3"/>
    <n v="3"/>
    <n v="0.22"/>
    <n v="0.21210000000000001"/>
    <n v="0.93"/>
    <n v="0.22389999999999999"/>
    <n v="1"/>
    <n v="48"/>
    <n v="49"/>
    <x v="4"/>
    <x v="2"/>
    <s v="0.20-0.30"/>
    <s v="0.90-1.00"/>
  </r>
  <r>
    <n v="720"/>
    <x v="4"/>
    <n v="1"/>
    <x v="6"/>
    <s v="False"/>
    <n v="3"/>
    <n v="3"/>
    <n v="0.22"/>
    <n v="0.21210000000000001"/>
    <n v="0.93"/>
    <n v="0.22389999999999999"/>
    <n v="1"/>
    <n v="154"/>
    <n v="155"/>
    <x v="4"/>
    <x v="2"/>
    <s v="0.20-0.30"/>
    <s v="0.90-1.00"/>
  </r>
  <r>
    <n v="721"/>
    <x v="4"/>
    <n v="1"/>
    <x v="7"/>
    <s v="False"/>
    <n v="3"/>
    <n v="2"/>
    <n v="0.24"/>
    <n v="0.2576"/>
    <n v="0.93"/>
    <n v="8.9599999999999999E-2"/>
    <n v="4"/>
    <n v="119"/>
    <n v="123"/>
    <x v="4"/>
    <x v="1"/>
    <s v="0.00 -0.10"/>
    <s v="0.90-1.00"/>
  </r>
  <r>
    <n v="722"/>
    <x v="4"/>
    <n v="1"/>
    <x v="8"/>
    <s v="False"/>
    <n v="3"/>
    <n v="2"/>
    <n v="0.22"/>
    <n v="0.2727"/>
    <n v="1"/>
    <n v="0"/>
    <n v="2"/>
    <n v="59"/>
    <n v="61"/>
    <x v="4"/>
    <x v="1"/>
    <s v="0.00 -0.10"/>
    <s v="0.90-1.00"/>
  </r>
  <r>
    <n v="723"/>
    <x v="4"/>
    <n v="1"/>
    <x v="9"/>
    <s v="False"/>
    <n v="3"/>
    <n v="2"/>
    <n v="0.24"/>
    <n v="0.2273"/>
    <n v="0.93"/>
    <n v="0.19400000000000001"/>
    <n v="5"/>
    <n v="47"/>
    <n v="52"/>
    <x v="4"/>
    <x v="1"/>
    <s v="0.10-0.20"/>
    <s v="0.90-1.00"/>
  </r>
  <r>
    <n v="724"/>
    <x v="4"/>
    <n v="1"/>
    <x v="10"/>
    <s v="False"/>
    <n v="3"/>
    <n v="2"/>
    <n v="0.24"/>
    <n v="0.2273"/>
    <n v="0.93"/>
    <n v="0.22389999999999999"/>
    <n v="3"/>
    <n v="61"/>
    <n v="64"/>
    <x v="4"/>
    <x v="1"/>
    <s v="0.20-0.30"/>
    <s v="0.90-1.00"/>
  </r>
  <r>
    <n v="725"/>
    <x v="4"/>
    <n v="1"/>
    <x v="11"/>
    <s v="False"/>
    <n v="3"/>
    <n v="1"/>
    <n v="0.34"/>
    <n v="0.33329999999999999"/>
    <n v="0.93"/>
    <n v="0.16420000000000001"/>
    <n v="1"/>
    <n v="74"/>
    <n v="75"/>
    <x v="4"/>
    <x v="0"/>
    <s v="0.10-0.20"/>
    <s v="0.90-1.00"/>
  </r>
  <r>
    <n v="726"/>
    <x v="4"/>
    <n v="1"/>
    <x v="12"/>
    <s v="False"/>
    <n v="3"/>
    <n v="1"/>
    <n v="0.38"/>
    <n v="0.39389999999999997"/>
    <n v="0.82"/>
    <n v="0.3881"/>
    <n v="2"/>
    <n v="61"/>
    <n v="63"/>
    <x v="4"/>
    <x v="0"/>
    <s v="0.30-0.40"/>
    <s v="0.80-0.90"/>
  </r>
  <r>
    <n v="727"/>
    <x v="4"/>
    <n v="1"/>
    <x v="13"/>
    <s v="False"/>
    <n v="3"/>
    <n v="1"/>
    <n v="0.38"/>
    <n v="0.39389999999999997"/>
    <n v="0.76"/>
    <n v="0.32840000000000003"/>
    <n v="10"/>
    <n v="66"/>
    <n v="76"/>
    <x v="4"/>
    <x v="0"/>
    <s v="0.30-0.40"/>
    <s v="0.70-0.80"/>
  </r>
  <r>
    <n v="728"/>
    <x v="4"/>
    <n v="1"/>
    <x v="14"/>
    <s v="False"/>
    <n v="3"/>
    <n v="1"/>
    <n v="0.36"/>
    <n v="0.33329999999999999"/>
    <n v="0.71"/>
    <n v="0.29849999999999999"/>
    <n v="8"/>
    <n v="95"/>
    <n v="103"/>
    <x v="4"/>
    <x v="0"/>
    <s v="0.20-0.30"/>
    <s v="0.70-0.80"/>
  </r>
  <r>
    <n v="729"/>
    <x v="4"/>
    <n v="1"/>
    <x v="15"/>
    <s v="False"/>
    <n v="3"/>
    <n v="1"/>
    <n v="0.36"/>
    <n v="0.31819999999999998"/>
    <n v="0.53"/>
    <n v="0.52239999999999998"/>
    <n v="7"/>
    <n v="183"/>
    <n v="190"/>
    <x v="4"/>
    <x v="0"/>
    <s v="0.50-0.60"/>
    <s v="0.50-0.60"/>
  </r>
  <r>
    <n v="730"/>
    <x v="4"/>
    <n v="1"/>
    <x v="16"/>
    <s v="False"/>
    <n v="3"/>
    <n v="1"/>
    <n v="0.34"/>
    <n v="0.28789999999999999"/>
    <n v="0.42"/>
    <n v="0.55220000000000002"/>
    <n v="7"/>
    <n v="175"/>
    <n v="182"/>
    <x v="4"/>
    <x v="0"/>
    <s v="0.50-0.60"/>
    <s v="0.40-0.50"/>
  </r>
  <r>
    <n v="731"/>
    <x v="4"/>
    <n v="1"/>
    <x v="17"/>
    <s v="False"/>
    <n v="3"/>
    <n v="1"/>
    <n v="0.28000000000000003"/>
    <n v="0.2424"/>
    <n v="0.45"/>
    <n v="0.49249999999999999"/>
    <n v="3"/>
    <n v="88"/>
    <n v="91"/>
    <x v="4"/>
    <x v="0"/>
    <s v="0.40-0.50"/>
    <s v="0.40-0.50"/>
  </r>
  <r>
    <n v="732"/>
    <x v="4"/>
    <n v="1"/>
    <x v="18"/>
    <s v="False"/>
    <n v="3"/>
    <n v="1"/>
    <n v="0.24"/>
    <n v="0.19700000000000001"/>
    <n v="0.48"/>
    <n v="0.55220000000000002"/>
    <n v="4"/>
    <n v="71"/>
    <n v="75"/>
    <x v="4"/>
    <x v="0"/>
    <s v="0.50-0.60"/>
    <s v="0.40-0.50"/>
  </r>
  <r>
    <n v="733"/>
    <x v="4"/>
    <n v="1"/>
    <x v="19"/>
    <s v="False"/>
    <n v="3"/>
    <n v="1"/>
    <n v="0.22"/>
    <n v="0.19700000000000001"/>
    <n v="0.47"/>
    <n v="0.32840000000000003"/>
    <n v="1"/>
    <n v="62"/>
    <n v="63"/>
    <x v="4"/>
    <x v="0"/>
    <s v="0.30-0.40"/>
    <s v="0.40-0.50"/>
  </r>
  <r>
    <n v="734"/>
    <x v="4"/>
    <n v="1"/>
    <x v="20"/>
    <s v="False"/>
    <n v="3"/>
    <n v="1"/>
    <n v="0.22"/>
    <n v="0.21210000000000001"/>
    <n v="0.44"/>
    <n v="0.25369999999999998"/>
    <n v="5"/>
    <n v="35"/>
    <n v="40"/>
    <x v="4"/>
    <x v="0"/>
    <s v="0.20-0.30"/>
    <s v="0.40-0.50"/>
  </r>
  <r>
    <n v="735"/>
    <x v="4"/>
    <n v="1"/>
    <x v="21"/>
    <s v="False"/>
    <n v="3"/>
    <n v="1"/>
    <n v="0.2"/>
    <n v="0.16669999999999999"/>
    <n v="0.44"/>
    <n v="0.44779999999999998"/>
    <n v="3"/>
    <n v="29"/>
    <n v="32"/>
    <x v="4"/>
    <x v="0"/>
    <s v="0.40-0.50"/>
    <s v="0.40-0.50"/>
  </r>
  <r>
    <n v="736"/>
    <x v="5"/>
    <n v="1"/>
    <x v="22"/>
    <s v="False"/>
    <n v="4"/>
    <n v="1"/>
    <n v="0.2"/>
    <n v="0.16669999999999999"/>
    <n v="0.4"/>
    <n v="0.44779999999999998"/>
    <n v="1"/>
    <n v="11"/>
    <n v="12"/>
    <x v="5"/>
    <x v="0"/>
    <s v="0.40-0.50"/>
    <s v="0.30-0.40"/>
  </r>
  <r>
    <n v="737"/>
    <x v="5"/>
    <n v="1"/>
    <x v="0"/>
    <s v="False"/>
    <n v="4"/>
    <n v="1"/>
    <n v="0.2"/>
    <n v="0.1515"/>
    <n v="0.44"/>
    <n v="0.52239999999999998"/>
    <n v="0"/>
    <n v="5"/>
    <n v="5"/>
    <x v="5"/>
    <x v="0"/>
    <s v="0.50-0.60"/>
    <s v="0.40-0.50"/>
  </r>
  <r>
    <n v="738"/>
    <x v="5"/>
    <n v="1"/>
    <x v="1"/>
    <s v="False"/>
    <n v="4"/>
    <n v="1"/>
    <n v="0.18"/>
    <n v="0.16669999999999999"/>
    <n v="0.43"/>
    <n v="0.25369999999999998"/>
    <n v="0"/>
    <n v="2"/>
    <n v="2"/>
    <x v="5"/>
    <x v="0"/>
    <s v="0.20-0.30"/>
    <s v="0.40-0.50"/>
  </r>
  <r>
    <n v="739"/>
    <x v="5"/>
    <n v="1"/>
    <x v="2"/>
    <s v="False"/>
    <n v="4"/>
    <n v="1"/>
    <n v="0.18"/>
    <n v="0.16669999999999999"/>
    <n v="0.43"/>
    <n v="0.25369999999999998"/>
    <n v="0"/>
    <n v="1"/>
    <n v="1"/>
    <x v="5"/>
    <x v="0"/>
    <s v="0.20-0.30"/>
    <s v="0.40-0.50"/>
  </r>
  <r>
    <n v="740"/>
    <x v="5"/>
    <n v="1"/>
    <x v="23"/>
    <s v="False"/>
    <n v="4"/>
    <n v="1"/>
    <n v="0.16"/>
    <n v="0.13639999999999999"/>
    <n v="0.5"/>
    <n v="0.29849999999999999"/>
    <n v="0"/>
    <n v="2"/>
    <n v="2"/>
    <x v="5"/>
    <x v="0"/>
    <s v="0.20-0.30"/>
    <s v="0.40-0.50"/>
  </r>
  <r>
    <n v="741"/>
    <x v="5"/>
    <n v="1"/>
    <x v="4"/>
    <s v="False"/>
    <n v="4"/>
    <n v="1"/>
    <n v="0.16"/>
    <n v="0.13639999999999999"/>
    <n v="0.43"/>
    <n v="0.35820000000000002"/>
    <n v="0"/>
    <n v="39"/>
    <n v="39"/>
    <x v="5"/>
    <x v="0"/>
    <s v="0.30-0.40"/>
    <s v="0.40-0.50"/>
  </r>
  <r>
    <n v="742"/>
    <x v="5"/>
    <n v="1"/>
    <x v="5"/>
    <s v="False"/>
    <n v="4"/>
    <n v="1"/>
    <n v="0.14000000000000001"/>
    <n v="0.1212"/>
    <n v="0.5"/>
    <n v="0.32840000000000003"/>
    <n v="1"/>
    <n v="86"/>
    <n v="87"/>
    <x v="5"/>
    <x v="0"/>
    <s v="0.30-0.40"/>
    <s v="0.40-0.50"/>
  </r>
  <r>
    <n v="743"/>
    <x v="5"/>
    <n v="1"/>
    <x v="6"/>
    <s v="False"/>
    <n v="4"/>
    <n v="1"/>
    <n v="0.14000000000000001"/>
    <n v="0.1212"/>
    <n v="0.5"/>
    <n v="0.35820000000000002"/>
    <n v="4"/>
    <n v="184"/>
    <n v="188"/>
    <x v="5"/>
    <x v="0"/>
    <s v="0.30-0.40"/>
    <s v="0.40-0.50"/>
  </r>
  <r>
    <n v="744"/>
    <x v="5"/>
    <n v="1"/>
    <x v="7"/>
    <s v="False"/>
    <n v="4"/>
    <n v="1"/>
    <n v="0.16"/>
    <n v="0.13639999999999999"/>
    <n v="0.47"/>
    <n v="0.29849999999999999"/>
    <n v="6"/>
    <n v="127"/>
    <n v="133"/>
    <x v="5"/>
    <x v="0"/>
    <s v="0.20-0.30"/>
    <s v="0.40-0.50"/>
  </r>
  <r>
    <n v="745"/>
    <x v="5"/>
    <n v="1"/>
    <x v="8"/>
    <s v="False"/>
    <n v="4"/>
    <n v="1"/>
    <n v="0.18"/>
    <n v="0.1515"/>
    <n v="0.43"/>
    <n v="0.32840000000000003"/>
    <n v="2"/>
    <n v="50"/>
    <n v="52"/>
    <x v="5"/>
    <x v="0"/>
    <s v="0.30-0.40"/>
    <s v="0.40-0.50"/>
  </r>
  <r>
    <n v="746"/>
    <x v="5"/>
    <n v="1"/>
    <x v="9"/>
    <s v="False"/>
    <n v="4"/>
    <n v="1"/>
    <n v="0.18"/>
    <n v="0.13639999999999999"/>
    <n v="0.43"/>
    <n v="0.44779999999999998"/>
    <n v="9"/>
    <n v="55"/>
    <n v="64"/>
    <x v="5"/>
    <x v="0"/>
    <s v="0.40-0.50"/>
    <s v="0.40-0.50"/>
  </r>
  <r>
    <n v="747"/>
    <x v="5"/>
    <n v="1"/>
    <x v="10"/>
    <s v="False"/>
    <n v="4"/>
    <n v="1"/>
    <n v="0.2"/>
    <n v="0.18179999999999999"/>
    <n v="0.4"/>
    <n v="0.35820000000000002"/>
    <n v="2"/>
    <n v="67"/>
    <n v="69"/>
    <x v="5"/>
    <x v="0"/>
    <s v="0.30-0.40"/>
    <s v="0.30-0.40"/>
  </r>
  <r>
    <n v="748"/>
    <x v="5"/>
    <n v="1"/>
    <x v="11"/>
    <s v="False"/>
    <n v="4"/>
    <n v="1"/>
    <n v="0.2"/>
    <n v="0.16669999999999999"/>
    <n v="0.4"/>
    <n v="0.41789999999999999"/>
    <n v="4"/>
    <n v="47"/>
    <n v="51"/>
    <x v="5"/>
    <x v="0"/>
    <s v="0.40-0.50"/>
    <s v="0.30-0.40"/>
  </r>
  <r>
    <n v="749"/>
    <x v="5"/>
    <n v="1"/>
    <x v="12"/>
    <s v="False"/>
    <n v="4"/>
    <n v="1"/>
    <n v="0.22"/>
    <n v="0.19700000000000001"/>
    <n v="0.37"/>
    <n v="0.3881"/>
    <n v="4"/>
    <n v="43"/>
    <n v="47"/>
    <x v="5"/>
    <x v="0"/>
    <s v="0.30-0.40"/>
    <s v="0.30-0.40"/>
  </r>
  <r>
    <n v="750"/>
    <x v="5"/>
    <n v="1"/>
    <x v="13"/>
    <s v="False"/>
    <n v="4"/>
    <n v="1"/>
    <n v="0.22"/>
    <n v="0.19700000000000001"/>
    <n v="0.37"/>
    <n v="0.32840000000000003"/>
    <n v="4"/>
    <n v="56"/>
    <n v="60"/>
    <x v="5"/>
    <x v="0"/>
    <s v="0.30-0.40"/>
    <s v="0.30-0.40"/>
  </r>
  <r>
    <n v="751"/>
    <x v="5"/>
    <n v="1"/>
    <x v="14"/>
    <s v="False"/>
    <n v="4"/>
    <n v="1"/>
    <n v="0.22"/>
    <n v="0.21210000000000001"/>
    <n v="0.37"/>
    <n v="0.25369999999999998"/>
    <n v="5"/>
    <n v="73"/>
    <n v="78"/>
    <x v="5"/>
    <x v="0"/>
    <s v="0.20-0.30"/>
    <s v="0.30-0.40"/>
  </r>
  <r>
    <n v="752"/>
    <x v="5"/>
    <n v="1"/>
    <x v="15"/>
    <s v="False"/>
    <n v="4"/>
    <n v="1"/>
    <n v="0.2"/>
    <n v="0.19700000000000001"/>
    <n v="0.4"/>
    <n v="0.19400000000000001"/>
    <n v="5"/>
    <n v="170"/>
    <n v="175"/>
    <x v="5"/>
    <x v="0"/>
    <s v="0.10-0.20"/>
    <s v="0.30-0.40"/>
  </r>
  <r>
    <n v="753"/>
    <x v="5"/>
    <n v="1"/>
    <x v="16"/>
    <s v="False"/>
    <n v="4"/>
    <n v="1"/>
    <n v="0.2"/>
    <n v="0.21210000000000001"/>
    <n v="0.4"/>
    <n v="0.16420000000000001"/>
    <n v="2"/>
    <n v="145"/>
    <n v="147"/>
    <x v="5"/>
    <x v="0"/>
    <s v="0.10-0.20"/>
    <s v="0.30-0.40"/>
  </r>
  <r>
    <n v="754"/>
    <x v="5"/>
    <n v="1"/>
    <x v="17"/>
    <s v="False"/>
    <n v="4"/>
    <n v="1"/>
    <n v="0.2"/>
    <n v="0.2576"/>
    <n v="0.4"/>
    <n v="0"/>
    <n v="4"/>
    <n v="92"/>
    <n v="96"/>
    <x v="5"/>
    <x v="0"/>
    <s v="0.00 -0.10"/>
    <s v="0.30-0.40"/>
  </r>
  <r>
    <n v="755"/>
    <x v="5"/>
    <n v="1"/>
    <x v="18"/>
    <s v="False"/>
    <n v="4"/>
    <n v="1"/>
    <n v="0.2"/>
    <n v="0.2273"/>
    <n v="0.47"/>
    <n v="8.9599999999999999E-2"/>
    <n v="1"/>
    <n v="108"/>
    <n v="109"/>
    <x v="5"/>
    <x v="0"/>
    <s v="0.00 -0.10"/>
    <s v="0.40-0.50"/>
  </r>
  <r>
    <n v="756"/>
    <x v="5"/>
    <n v="1"/>
    <x v="19"/>
    <s v="False"/>
    <n v="4"/>
    <n v="1"/>
    <n v="0.18"/>
    <n v="0.21210000000000001"/>
    <n v="0.55000000000000004"/>
    <n v="0.1045"/>
    <n v="1"/>
    <n v="53"/>
    <n v="54"/>
    <x v="5"/>
    <x v="0"/>
    <s v="0.10-0.20"/>
    <s v="0.50-0.60"/>
  </r>
  <r>
    <n v="757"/>
    <x v="5"/>
    <n v="1"/>
    <x v="20"/>
    <s v="False"/>
    <n v="4"/>
    <n v="1"/>
    <n v="0.18"/>
    <n v="0.21210000000000001"/>
    <n v="0.51"/>
    <n v="8.9599999999999999E-2"/>
    <n v="2"/>
    <n v="39"/>
    <n v="41"/>
    <x v="5"/>
    <x v="0"/>
    <s v="0.00 -0.10"/>
    <s v="0.50-0.60"/>
  </r>
  <r>
    <n v="758"/>
    <x v="5"/>
    <n v="1"/>
    <x v="21"/>
    <s v="False"/>
    <n v="4"/>
    <n v="1"/>
    <n v="0.2"/>
    <n v="0.2273"/>
    <n v="0.47"/>
    <n v="0.1045"/>
    <n v="4"/>
    <n v="34"/>
    <n v="38"/>
    <x v="5"/>
    <x v="0"/>
    <s v="0.10-0.20"/>
    <s v="0.40-0.50"/>
  </r>
  <r>
    <n v="759"/>
    <x v="6"/>
    <n v="1"/>
    <x v="22"/>
    <s v="False"/>
    <n v="5"/>
    <n v="2"/>
    <n v="0.2"/>
    <n v="0.2576"/>
    <n v="0.44"/>
    <n v="0"/>
    <n v="3"/>
    <n v="10"/>
    <n v="13"/>
    <x v="6"/>
    <x v="1"/>
    <s v="0.00 -0.10"/>
    <s v="0.40-0.50"/>
  </r>
  <r>
    <n v="760"/>
    <x v="6"/>
    <n v="1"/>
    <x v="0"/>
    <s v="False"/>
    <n v="5"/>
    <n v="2"/>
    <n v="0.16"/>
    <n v="0.2273"/>
    <n v="0.59"/>
    <n v="0"/>
    <n v="0"/>
    <n v="7"/>
    <n v="7"/>
    <x v="6"/>
    <x v="1"/>
    <s v="0.00 -0.10"/>
    <s v="0.50-0.60"/>
  </r>
  <r>
    <n v="761"/>
    <x v="6"/>
    <n v="1"/>
    <x v="1"/>
    <s v="False"/>
    <n v="5"/>
    <n v="2"/>
    <n v="0.14000000000000001"/>
    <n v="0.16669999999999999"/>
    <n v="0.63"/>
    <n v="0.1045"/>
    <n v="0"/>
    <n v="1"/>
    <n v="1"/>
    <x v="6"/>
    <x v="1"/>
    <s v="0.10-0.20"/>
    <s v="0.60-0.70"/>
  </r>
  <r>
    <n v="762"/>
    <x v="6"/>
    <n v="1"/>
    <x v="2"/>
    <s v="False"/>
    <n v="5"/>
    <n v="2"/>
    <n v="0.14000000000000001"/>
    <n v="0.16669999999999999"/>
    <n v="0.63"/>
    <n v="0.1045"/>
    <n v="0"/>
    <n v="1"/>
    <n v="1"/>
    <x v="6"/>
    <x v="1"/>
    <s v="0.10-0.20"/>
    <s v="0.60-0.70"/>
  </r>
  <r>
    <n v="763"/>
    <x v="6"/>
    <n v="1"/>
    <x v="23"/>
    <s v="False"/>
    <n v="5"/>
    <n v="2"/>
    <n v="0.14000000000000001"/>
    <n v="0.1515"/>
    <n v="0.63"/>
    <n v="0.1343"/>
    <n v="0"/>
    <n v="7"/>
    <n v="7"/>
    <x v="6"/>
    <x v="1"/>
    <s v="0.10-0.20"/>
    <s v="0.60-0.70"/>
  </r>
  <r>
    <n v="764"/>
    <x v="6"/>
    <n v="1"/>
    <x v="4"/>
    <s v="False"/>
    <n v="5"/>
    <n v="2"/>
    <n v="0.16"/>
    <n v="0.2273"/>
    <n v="0.55000000000000004"/>
    <n v="0"/>
    <n v="2"/>
    <n v="26"/>
    <n v="28"/>
    <x v="6"/>
    <x v="1"/>
    <s v="0.00 -0.10"/>
    <s v="0.50-0.60"/>
  </r>
  <r>
    <n v="765"/>
    <x v="6"/>
    <n v="1"/>
    <x v="5"/>
    <s v="False"/>
    <n v="5"/>
    <n v="1"/>
    <n v="0.14000000000000001"/>
    <n v="0.21210000000000001"/>
    <n v="0.59"/>
    <n v="0"/>
    <n v="0"/>
    <n v="87"/>
    <n v="87"/>
    <x v="6"/>
    <x v="0"/>
    <s v="0.00 -0.10"/>
    <s v="0.50-0.60"/>
  </r>
  <r>
    <n v="766"/>
    <x v="6"/>
    <n v="1"/>
    <x v="6"/>
    <s v="False"/>
    <n v="5"/>
    <n v="1"/>
    <n v="0.14000000000000001"/>
    <n v="0.1515"/>
    <n v="0.74"/>
    <n v="0.1343"/>
    <n v="3"/>
    <n v="217"/>
    <n v="220"/>
    <x v="6"/>
    <x v="0"/>
    <s v="0.10-0.20"/>
    <s v="0.70-0.80"/>
  </r>
  <r>
    <n v="767"/>
    <x v="6"/>
    <n v="1"/>
    <x v="7"/>
    <s v="False"/>
    <n v="5"/>
    <n v="2"/>
    <n v="0.16"/>
    <n v="0.18179999999999999"/>
    <n v="0.8"/>
    <n v="0.1343"/>
    <n v="3"/>
    <n v="124"/>
    <n v="127"/>
    <x v="6"/>
    <x v="1"/>
    <s v="0.10-0.20"/>
    <s v="0.70-0.80"/>
  </r>
  <r>
    <n v="768"/>
    <x v="6"/>
    <n v="1"/>
    <x v="8"/>
    <s v="False"/>
    <n v="5"/>
    <n v="2"/>
    <n v="0.2"/>
    <n v="0.21210000000000001"/>
    <n v="0.51"/>
    <n v="0.1343"/>
    <n v="5"/>
    <n v="46"/>
    <n v="51"/>
    <x v="6"/>
    <x v="1"/>
    <s v="0.10-0.20"/>
    <s v="0.50-0.60"/>
  </r>
  <r>
    <n v="769"/>
    <x v="6"/>
    <n v="1"/>
    <x v="9"/>
    <s v="False"/>
    <n v="5"/>
    <n v="1"/>
    <n v="0.22"/>
    <n v="0.2273"/>
    <n v="0.51"/>
    <n v="0.16420000000000001"/>
    <n v="3"/>
    <n v="61"/>
    <n v="64"/>
    <x v="6"/>
    <x v="0"/>
    <s v="0.10-0.20"/>
    <s v="0.50-0.60"/>
  </r>
  <r>
    <n v="770"/>
    <x v="6"/>
    <n v="1"/>
    <x v="10"/>
    <s v="False"/>
    <n v="5"/>
    <n v="2"/>
    <n v="0.24"/>
    <n v="0.2424"/>
    <n v="0.48"/>
    <n v="0.16420000000000001"/>
    <n v="8"/>
    <n v="78"/>
    <n v="86"/>
    <x v="6"/>
    <x v="1"/>
    <s v="0.10-0.20"/>
    <s v="0.40-0.50"/>
  </r>
  <r>
    <n v="771"/>
    <x v="6"/>
    <n v="1"/>
    <x v="11"/>
    <s v="False"/>
    <n v="5"/>
    <n v="2"/>
    <n v="0.26"/>
    <n v="0.2576"/>
    <n v="0.5"/>
    <n v="0.22389999999999999"/>
    <n v="9"/>
    <n v="73"/>
    <n v="82"/>
    <x v="6"/>
    <x v="1"/>
    <s v="0.20-0.30"/>
    <s v="0.40-0.50"/>
  </r>
  <r>
    <n v="772"/>
    <x v="6"/>
    <n v="1"/>
    <x v="12"/>
    <s v="False"/>
    <n v="5"/>
    <n v="2"/>
    <n v="0.28000000000000003"/>
    <n v="0.2727"/>
    <n v="0.45"/>
    <n v="0.16420000000000001"/>
    <n v="15"/>
    <n v="76"/>
    <n v="91"/>
    <x v="6"/>
    <x v="1"/>
    <s v="0.10-0.20"/>
    <s v="0.40-0.50"/>
  </r>
  <r>
    <n v="773"/>
    <x v="6"/>
    <n v="1"/>
    <x v="13"/>
    <s v="False"/>
    <n v="5"/>
    <n v="2"/>
    <n v="0.28000000000000003"/>
    <n v="0.2727"/>
    <n v="0.48"/>
    <n v="0.25369999999999998"/>
    <n v="9"/>
    <n v="81"/>
    <n v="90"/>
    <x v="6"/>
    <x v="1"/>
    <s v="0.20-0.30"/>
    <s v="0.40-0.50"/>
  </r>
  <r>
    <n v="774"/>
    <x v="6"/>
    <n v="1"/>
    <x v="14"/>
    <s v="False"/>
    <n v="5"/>
    <n v="2"/>
    <n v="0.3"/>
    <n v="0.28789999999999999"/>
    <n v="0.42"/>
    <n v="0.22389999999999999"/>
    <n v="8"/>
    <n v="91"/>
    <n v="99"/>
    <x v="6"/>
    <x v="1"/>
    <s v="0.20-0.30"/>
    <s v="0.40-0.50"/>
  </r>
  <r>
    <n v="775"/>
    <x v="6"/>
    <n v="1"/>
    <x v="15"/>
    <s v="False"/>
    <n v="5"/>
    <n v="2"/>
    <n v="0.26"/>
    <n v="0.2727"/>
    <n v="0.56000000000000005"/>
    <n v="0.1343"/>
    <n v="10"/>
    <n v="195"/>
    <n v="205"/>
    <x v="6"/>
    <x v="1"/>
    <s v="0.10-0.20"/>
    <s v="0.50-0.60"/>
  </r>
  <r>
    <n v="776"/>
    <x v="6"/>
    <n v="1"/>
    <x v="16"/>
    <s v="False"/>
    <n v="5"/>
    <n v="2"/>
    <n v="0.24"/>
    <n v="0.2576"/>
    <n v="0.6"/>
    <n v="0.1045"/>
    <n v="3"/>
    <n v="152"/>
    <n v="155"/>
    <x v="6"/>
    <x v="1"/>
    <s v="0.10-0.20"/>
    <s v="0.50-0.60"/>
  </r>
  <r>
    <n v="777"/>
    <x v="6"/>
    <n v="1"/>
    <x v="17"/>
    <s v="False"/>
    <n v="5"/>
    <n v="2"/>
    <n v="0.24"/>
    <n v="0.2424"/>
    <n v="0.65"/>
    <n v="0.1343"/>
    <n v="1"/>
    <n v="102"/>
    <n v="103"/>
    <x v="6"/>
    <x v="1"/>
    <s v="0.10-0.20"/>
    <s v="0.60-0.70"/>
  </r>
  <r>
    <n v="778"/>
    <x v="6"/>
    <n v="1"/>
    <x v="18"/>
    <s v="False"/>
    <n v="5"/>
    <n v="2"/>
    <n v="0.24"/>
    <n v="0.2424"/>
    <n v="0.65"/>
    <n v="0.16420000000000001"/>
    <n v="2"/>
    <n v="69"/>
    <n v="71"/>
    <x v="6"/>
    <x v="1"/>
    <s v="0.10-0.20"/>
    <s v="0.60-0.70"/>
  </r>
  <r>
    <n v="779"/>
    <x v="6"/>
    <n v="1"/>
    <x v="19"/>
    <s v="False"/>
    <n v="5"/>
    <n v="2"/>
    <n v="0.24"/>
    <n v="0.2424"/>
    <n v="0.7"/>
    <n v="0.16420000000000001"/>
    <n v="2"/>
    <n v="41"/>
    <n v="43"/>
    <x v="6"/>
    <x v="1"/>
    <s v="0.10-0.20"/>
    <s v="0.60-0.70"/>
  </r>
  <r>
    <n v="780"/>
    <x v="6"/>
    <n v="1"/>
    <x v="20"/>
    <s v="False"/>
    <n v="5"/>
    <n v="2"/>
    <n v="0.24"/>
    <n v="0.2424"/>
    <n v="0.65"/>
    <n v="0.16420000000000001"/>
    <n v="1"/>
    <n v="45"/>
    <n v="46"/>
    <x v="6"/>
    <x v="1"/>
    <s v="0.10-0.20"/>
    <s v="0.60-0.70"/>
  </r>
  <r>
    <n v="781"/>
    <x v="6"/>
    <n v="1"/>
    <x v="21"/>
    <s v="False"/>
    <n v="5"/>
    <n v="2"/>
    <n v="0.24"/>
    <n v="0.2424"/>
    <n v="0.7"/>
    <n v="0.1343"/>
    <n v="1"/>
    <n v="30"/>
    <n v="31"/>
    <x v="6"/>
    <x v="1"/>
    <s v="0.10-0.20"/>
    <s v="0.60-0.70"/>
  </r>
  <r>
    <n v="782"/>
    <x v="7"/>
    <n v="1"/>
    <x v="22"/>
    <s v="False"/>
    <n v="6"/>
    <n v="2"/>
    <n v="0.24"/>
    <n v="0.2424"/>
    <n v="0.7"/>
    <n v="0.16420000000000001"/>
    <n v="3"/>
    <n v="36"/>
    <n v="39"/>
    <x v="0"/>
    <x v="1"/>
    <s v="0.10-0.20"/>
    <s v="0.60-0.70"/>
  </r>
  <r>
    <n v="783"/>
    <x v="7"/>
    <n v="1"/>
    <x v="0"/>
    <s v="False"/>
    <n v="6"/>
    <n v="2"/>
    <n v="0.24"/>
    <n v="0.2424"/>
    <n v="0.65"/>
    <n v="0.16420000000000001"/>
    <n v="1"/>
    <n v="17"/>
    <n v="18"/>
    <x v="0"/>
    <x v="1"/>
    <s v="0.10-0.20"/>
    <s v="0.60-0.70"/>
  </r>
  <r>
    <n v="784"/>
    <x v="7"/>
    <n v="1"/>
    <x v="1"/>
    <s v="False"/>
    <n v="6"/>
    <n v="2"/>
    <n v="0.24"/>
    <n v="0.2424"/>
    <n v="0.75"/>
    <n v="0.16420000000000001"/>
    <n v="5"/>
    <n v="12"/>
    <n v="17"/>
    <x v="0"/>
    <x v="1"/>
    <s v="0.10-0.20"/>
    <s v="0.70-0.80"/>
  </r>
  <r>
    <n v="785"/>
    <x v="7"/>
    <n v="1"/>
    <x v="2"/>
    <s v="False"/>
    <n v="6"/>
    <n v="2"/>
    <n v="0.24"/>
    <n v="0.2424"/>
    <n v="0.75"/>
    <n v="0.16420000000000001"/>
    <n v="1"/>
    <n v="10"/>
    <n v="11"/>
    <x v="0"/>
    <x v="1"/>
    <s v="0.10-0.20"/>
    <s v="0.70-0.80"/>
  </r>
  <r>
    <n v="786"/>
    <x v="7"/>
    <n v="1"/>
    <x v="3"/>
    <s v="False"/>
    <n v="6"/>
    <n v="3"/>
    <n v="0.22"/>
    <n v="0.2273"/>
    <n v="0.93"/>
    <n v="0.1343"/>
    <n v="0"/>
    <n v="8"/>
    <n v="8"/>
    <x v="0"/>
    <x v="2"/>
    <s v="0.10-0.20"/>
    <s v="0.90-1.00"/>
  </r>
  <r>
    <n v="787"/>
    <x v="7"/>
    <n v="1"/>
    <x v="23"/>
    <s v="False"/>
    <n v="6"/>
    <n v="3"/>
    <n v="0.2"/>
    <n v="0.2273"/>
    <n v="1"/>
    <n v="8.9599999999999999E-2"/>
    <n v="0"/>
    <n v="9"/>
    <n v="9"/>
    <x v="0"/>
    <x v="2"/>
    <s v="0.00 -0.10"/>
    <s v="0.90-1.00"/>
  </r>
  <r>
    <n v="788"/>
    <x v="7"/>
    <n v="1"/>
    <x v="4"/>
    <s v="False"/>
    <n v="6"/>
    <n v="3"/>
    <n v="0.2"/>
    <n v="0.2576"/>
    <n v="1"/>
    <n v="0"/>
    <n v="0"/>
    <n v="4"/>
    <n v="4"/>
    <x v="0"/>
    <x v="2"/>
    <s v="0.00 -0.10"/>
    <s v="0.90-1.00"/>
  </r>
  <r>
    <n v="789"/>
    <x v="7"/>
    <n v="1"/>
    <x v="5"/>
    <s v="False"/>
    <n v="6"/>
    <n v="3"/>
    <n v="0.22"/>
    <n v="0.2576"/>
    <n v="0.93"/>
    <n v="8.9599999999999999E-2"/>
    <n v="0"/>
    <n v="4"/>
    <n v="4"/>
    <x v="0"/>
    <x v="2"/>
    <s v="0.00 -0.10"/>
    <s v="0.90-1.00"/>
  </r>
  <r>
    <n v="790"/>
    <x v="7"/>
    <n v="1"/>
    <x v="6"/>
    <s v="False"/>
    <n v="6"/>
    <n v="3"/>
    <n v="0.2"/>
    <n v="0.2273"/>
    <n v="1"/>
    <n v="8.9599999999999999E-2"/>
    <n v="0"/>
    <n v="10"/>
    <n v="10"/>
    <x v="0"/>
    <x v="2"/>
    <s v="0.00 -0.10"/>
    <s v="0.90-1.00"/>
  </r>
  <r>
    <n v="791"/>
    <x v="7"/>
    <n v="1"/>
    <x v="7"/>
    <s v="False"/>
    <n v="6"/>
    <n v="3"/>
    <n v="0.2"/>
    <n v="0.2273"/>
    <n v="1"/>
    <n v="8.9599999999999999E-2"/>
    <n v="3"/>
    <n v="17"/>
    <n v="20"/>
    <x v="0"/>
    <x v="2"/>
    <s v="0.00 -0.10"/>
    <s v="0.90-1.00"/>
  </r>
  <r>
    <n v="792"/>
    <x v="7"/>
    <n v="1"/>
    <x v="8"/>
    <s v="False"/>
    <n v="6"/>
    <n v="3"/>
    <n v="0.2"/>
    <n v="0.21210000000000001"/>
    <n v="1"/>
    <n v="0.1343"/>
    <n v="3"/>
    <n v="31"/>
    <n v="34"/>
    <x v="0"/>
    <x v="2"/>
    <s v="0.10-0.20"/>
    <s v="0.90-1.00"/>
  </r>
  <r>
    <n v="793"/>
    <x v="7"/>
    <n v="1"/>
    <x v="9"/>
    <s v="False"/>
    <n v="6"/>
    <n v="3"/>
    <n v="0.22"/>
    <n v="0.2273"/>
    <n v="1"/>
    <n v="0.1343"/>
    <n v="1"/>
    <n v="46"/>
    <n v="47"/>
    <x v="0"/>
    <x v="2"/>
    <s v="0.10-0.20"/>
    <s v="0.90-1.00"/>
  </r>
  <r>
    <n v="794"/>
    <x v="7"/>
    <n v="1"/>
    <x v="10"/>
    <s v="False"/>
    <n v="6"/>
    <n v="3"/>
    <n v="0.22"/>
    <n v="0.2273"/>
    <n v="1"/>
    <n v="0.16420000000000001"/>
    <n v="10"/>
    <n v="42"/>
    <n v="52"/>
    <x v="0"/>
    <x v="2"/>
    <s v="0.10-0.20"/>
    <s v="0.90-1.00"/>
  </r>
  <r>
    <n v="795"/>
    <x v="7"/>
    <n v="1"/>
    <x v="11"/>
    <s v="False"/>
    <n v="6"/>
    <n v="3"/>
    <n v="0.22"/>
    <n v="0.2273"/>
    <n v="1"/>
    <n v="0.16420000000000001"/>
    <n v="10"/>
    <n v="62"/>
    <n v="72"/>
    <x v="0"/>
    <x v="2"/>
    <s v="0.10-0.20"/>
    <s v="0.90-1.00"/>
  </r>
  <r>
    <n v="796"/>
    <x v="7"/>
    <n v="1"/>
    <x v="12"/>
    <s v="False"/>
    <n v="6"/>
    <n v="3"/>
    <n v="0.22"/>
    <n v="0.2727"/>
    <n v="1"/>
    <n v="0"/>
    <n v="5"/>
    <n v="50"/>
    <n v="55"/>
    <x v="0"/>
    <x v="2"/>
    <s v="0.00 -0.10"/>
    <s v="0.90-1.00"/>
  </r>
  <r>
    <n v="797"/>
    <x v="7"/>
    <n v="1"/>
    <x v="13"/>
    <s v="False"/>
    <n v="6"/>
    <n v="3"/>
    <n v="0.22"/>
    <n v="0.2727"/>
    <n v="1"/>
    <n v="0"/>
    <n v="11"/>
    <n v="49"/>
    <n v="60"/>
    <x v="0"/>
    <x v="2"/>
    <s v="0.00 -0.10"/>
    <s v="0.90-1.00"/>
  </r>
  <r>
    <n v="798"/>
    <x v="7"/>
    <n v="1"/>
    <x v="14"/>
    <s v="False"/>
    <n v="6"/>
    <n v="3"/>
    <n v="0.22"/>
    <n v="0.2273"/>
    <n v="1"/>
    <n v="0.1343"/>
    <n v="8"/>
    <n v="63"/>
    <n v="71"/>
    <x v="0"/>
    <x v="2"/>
    <s v="0.10-0.20"/>
    <s v="0.90-1.00"/>
  </r>
  <r>
    <n v="799"/>
    <x v="7"/>
    <n v="1"/>
    <x v="15"/>
    <s v="False"/>
    <n v="6"/>
    <n v="2"/>
    <n v="0.24"/>
    <n v="0.21210000000000001"/>
    <n v="1"/>
    <n v="0.28360000000000002"/>
    <n v="14"/>
    <n v="64"/>
    <n v="78"/>
    <x v="0"/>
    <x v="1"/>
    <s v="0.20-0.30"/>
    <s v="0.90-1.00"/>
  </r>
  <r>
    <n v="800"/>
    <x v="7"/>
    <n v="1"/>
    <x v="16"/>
    <s v="False"/>
    <n v="6"/>
    <n v="2"/>
    <n v="0.28000000000000003"/>
    <n v="0.2424"/>
    <n v="0.93"/>
    <n v="0.44779999999999998"/>
    <n v="2"/>
    <n v="81"/>
    <n v="83"/>
    <x v="0"/>
    <x v="1"/>
    <s v="0.40-0.50"/>
    <s v="0.90-1.00"/>
  </r>
  <r>
    <n v="801"/>
    <x v="7"/>
    <n v="1"/>
    <x v="17"/>
    <s v="False"/>
    <n v="6"/>
    <n v="2"/>
    <n v="0.28000000000000003"/>
    <n v="0.2424"/>
    <n v="0.93"/>
    <n v="0.44779999999999998"/>
    <n v="6"/>
    <n v="78"/>
    <n v="84"/>
    <x v="0"/>
    <x v="1"/>
    <s v="0.40-0.50"/>
    <s v="0.90-1.00"/>
  </r>
  <r>
    <n v="802"/>
    <x v="7"/>
    <n v="1"/>
    <x v="18"/>
    <s v="False"/>
    <n v="6"/>
    <n v="1"/>
    <n v="0.3"/>
    <n v="0.28789999999999999"/>
    <n v="0.87"/>
    <n v="0.25369999999999998"/>
    <n v="5"/>
    <n v="64"/>
    <n v="69"/>
    <x v="0"/>
    <x v="0"/>
    <s v="0.20-0.30"/>
    <s v="0.80-0.90"/>
  </r>
  <r>
    <n v="803"/>
    <x v="7"/>
    <n v="1"/>
    <x v="19"/>
    <s v="False"/>
    <n v="6"/>
    <n v="1"/>
    <n v="0.26"/>
    <n v="0.2576"/>
    <n v="1"/>
    <n v="0.19400000000000001"/>
    <n v="3"/>
    <n v="53"/>
    <n v="56"/>
    <x v="0"/>
    <x v="0"/>
    <s v="0.10-0.20"/>
    <s v="0.90-1.00"/>
  </r>
  <r>
    <n v="804"/>
    <x v="7"/>
    <n v="1"/>
    <x v="20"/>
    <s v="False"/>
    <n v="6"/>
    <n v="1"/>
    <n v="0.26"/>
    <n v="0.2727"/>
    <n v="0.93"/>
    <n v="0.1343"/>
    <n v="2"/>
    <n v="43"/>
    <n v="45"/>
    <x v="0"/>
    <x v="0"/>
    <s v="0.10-0.20"/>
    <s v="0.90-1.00"/>
  </r>
  <r>
    <n v="805"/>
    <x v="7"/>
    <n v="1"/>
    <x v="21"/>
    <s v="False"/>
    <n v="6"/>
    <n v="1"/>
    <n v="0.26"/>
    <n v="0.2576"/>
    <n v="0.93"/>
    <n v="0.22389999999999999"/>
    <n v="7"/>
    <n v="52"/>
    <n v="59"/>
    <x v="0"/>
    <x v="0"/>
    <s v="0.20-0.30"/>
    <s v="0.90-1.00"/>
  </r>
  <r>
    <n v="806"/>
    <x v="8"/>
    <n v="1"/>
    <x v="22"/>
    <s v="False"/>
    <n v="0"/>
    <n v="1"/>
    <n v="0.26"/>
    <n v="0.2576"/>
    <n v="0.7"/>
    <n v="0.19400000000000001"/>
    <n v="2"/>
    <n v="37"/>
    <n v="39"/>
    <x v="1"/>
    <x v="0"/>
    <s v="0.10-0.20"/>
    <s v="0.60-0.70"/>
  </r>
  <r>
    <n v="807"/>
    <x v="8"/>
    <n v="1"/>
    <x v="0"/>
    <s v="False"/>
    <n v="0"/>
    <n v="1"/>
    <n v="0.26"/>
    <n v="0.2273"/>
    <n v="0.65"/>
    <n v="0.41789999999999999"/>
    <n v="4"/>
    <n v="40"/>
    <n v="44"/>
    <x v="1"/>
    <x v="0"/>
    <s v="0.40-0.50"/>
    <s v="0.60-0.70"/>
  </r>
  <r>
    <n v="808"/>
    <x v="8"/>
    <n v="1"/>
    <x v="1"/>
    <s v="False"/>
    <n v="0"/>
    <n v="1"/>
    <n v="0.26"/>
    <n v="0.2273"/>
    <n v="0.6"/>
    <n v="0.32840000000000003"/>
    <n v="0"/>
    <n v="20"/>
    <n v="20"/>
    <x v="1"/>
    <x v="0"/>
    <s v="0.30-0.40"/>
    <s v="0.50-0.60"/>
  </r>
  <r>
    <n v="809"/>
    <x v="8"/>
    <n v="1"/>
    <x v="2"/>
    <s v="False"/>
    <n v="0"/>
    <n v="1"/>
    <n v="0.26"/>
    <n v="0.28789999999999999"/>
    <n v="0.6"/>
    <n v="8.9599999999999999E-2"/>
    <n v="3"/>
    <n v="10"/>
    <n v="13"/>
    <x v="1"/>
    <x v="0"/>
    <s v="0.00 -0.10"/>
    <s v="0.50-0.60"/>
  </r>
  <r>
    <n v="810"/>
    <x v="8"/>
    <n v="1"/>
    <x v="3"/>
    <s v="False"/>
    <n v="0"/>
    <n v="1"/>
    <n v="0.26"/>
    <n v="0.2273"/>
    <n v="0.6"/>
    <n v="0.35820000000000002"/>
    <n v="0"/>
    <n v="2"/>
    <n v="2"/>
    <x v="1"/>
    <x v="0"/>
    <s v="0.30-0.40"/>
    <s v="0.50-0.60"/>
  </r>
  <r>
    <n v="811"/>
    <x v="8"/>
    <n v="1"/>
    <x v="23"/>
    <s v="False"/>
    <n v="0"/>
    <n v="1"/>
    <n v="0.26"/>
    <n v="0.2576"/>
    <n v="0.6"/>
    <n v="0.22389999999999999"/>
    <n v="0"/>
    <n v="1"/>
    <n v="1"/>
    <x v="1"/>
    <x v="0"/>
    <s v="0.20-0.30"/>
    <s v="0.50-0.60"/>
  </r>
  <r>
    <n v="812"/>
    <x v="8"/>
    <n v="1"/>
    <x v="4"/>
    <s v="False"/>
    <n v="0"/>
    <n v="1"/>
    <n v="0.26"/>
    <n v="0.2576"/>
    <n v="0.6"/>
    <n v="0.22389999999999999"/>
    <n v="0"/>
    <n v="1"/>
    <n v="1"/>
    <x v="1"/>
    <x v="0"/>
    <s v="0.20-0.30"/>
    <s v="0.50-0.60"/>
  </r>
  <r>
    <n v="813"/>
    <x v="8"/>
    <n v="1"/>
    <x v="5"/>
    <s v="False"/>
    <n v="0"/>
    <n v="1"/>
    <n v="0.24"/>
    <n v="0.2424"/>
    <n v="0.65"/>
    <n v="0.16420000000000001"/>
    <n v="0"/>
    <n v="8"/>
    <n v="8"/>
    <x v="1"/>
    <x v="0"/>
    <s v="0.10-0.20"/>
    <s v="0.60-0.70"/>
  </r>
  <r>
    <n v="814"/>
    <x v="8"/>
    <n v="1"/>
    <x v="6"/>
    <s v="False"/>
    <n v="0"/>
    <n v="1"/>
    <n v="0.24"/>
    <n v="0.2576"/>
    <n v="0.65"/>
    <n v="0.1045"/>
    <n v="2"/>
    <n v="21"/>
    <n v="23"/>
    <x v="1"/>
    <x v="0"/>
    <s v="0.10-0.20"/>
    <s v="0.60-0.70"/>
  </r>
  <r>
    <n v="815"/>
    <x v="8"/>
    <n v="1"/>
    <x v="7"/>
    <s v="False"/>
    <n v="0"/>
    <n v="1"/>
    <n v="0.28000000000000003"/>
    <n v="0.28789999999999999"/>
    <n v="0.56000000000000005"/>
    <n v="0.1045"/>
    <n v="7"/>
    <n v="38"/>
    <n v="45"/>
    <x v="1"/>
    <x v="0"/>
    <s v="0.10-0.20"/>
    <s v="0.50-0.60"/>
  </r>
  <r>
    <n v="816"/>
    <x v="8"/>
    <n v="1"/>
    <x v="8"/>
    <s v="False"/>
    <n v="0"/>
    <n v="1"/>
    <n v="0.3"/>
    <n v="0.28789999999999999"/>
    <n v="0.52"/>
    <n v="0.25369999999999998"/>
    <n v="15"/>
    <n v="74"/>
    <n v="89"/>
    <x v="1"/>
    <x v="0"/>
    <s v="0.20-0.30"/>
    <s v="0.50-0.60"/>
  </r>
  <r>
    <n v="817"/>
    <x v="8"/>
    <n v="1"/>
    <x v="9"/>
    <s v="False"/>
    <n v="0"/>
    <n v="1"/>
    <n v="0.32"/>
    <n v="0.30299999999999999"/>
    <n v="0.49"/>
    <n v="0.25369999999999998"/>
    <n v="28"/>
    <n v="89"/>
    <n v="117"/>
    <x v="1"/>
    <x v="0"/>
    <s v="0.20-0.30"/>
    <s v="0.40-0.50"/>
  </r>
  <r>
    <n v="818"/>
    <x v="8"/>
    <n v="1"/>
    <x v="10"/>
    <s v="False"/>
    <n v="0"/>
    <n v="1"/>
    <n v="0.34"/>
    <n v="0.33329999999999999"/>
    <n v="0.46"/>
    <n v="0"/>
    <n v="48"/>
    <n v="126"/>
    <n v="174"/>
    <x v="1"/>
    <x v="0"/>
    <s v="0.00 -0.10"/>
    <s v="0.40-0.50"/>
  </r>
  <r>
    <n v="819"/>
    <x v="8"/>
    <n v="1"/>
    <x v="11"/>
    <s v="False"/>
    <n v="0"/>
    <n v="1"/>
    <n v="0.34"/>
    <n v="0.36359999999999998"/>
    <n v="0.46"/>
    <n v="0"/>
    <n v="47"/>
    <n v="135"/>
    <n v="182"/>
    <x v="1"/>
    <x v="0"/>
    <s v="0.00 -0.10"/>
    <s v="0.40-0.50"/>
  </r>
  <r>
    <n v="820"/>
    <x v="8"/>
    <n v="1"/>
    <x v="12"/>
    <s v="False"/>
    <n v="0"/>
    <n v="1"/>
    <n v="0.34"/>
    <n v="0.34849999999999998"/>
    <n v="0.46"/>
    <n v="8.9599999999999999E-2"/>
    <n v="47"/>
    <n v="114"/>
    <n v="161"/>
    <x v="1"/>
    <x v="0"/>
    <s v="0.00 -0.10"/>
    <s v="0.40-0.50"/>
  </r>
  <r>
    <n v="821"/>
    <x v="8"/>
    <n v="1"/>
    <x v="13"/>
    <s v="False"/>
    <n v="0"/>
    <n v="1"/>
    <n v="0.34"/>
    <n v="0.34849999999999998"/>
    <n v="0.46"/>
    <n v="8.9599999999999999E-2"/>
    <n v="52"/>
    <n v="130"/>
    <n v="182"/>
    <x v="1"/>
    <x v="0"/>
    <s v="0.00 -0.10"/>
    <s v="0.40-0.50"/>
  </r>
  <r>
    <n v="822"/>
    <x v="8"/>
    <n v="1"/>
    <x v="14"/>
    <s v="False"/>
    <n v="0"/>
    <n v="1"/>
    <n v="0.34"/>
    <n v="0.34849999999999998"/>
    <n v="0.49"/>
    <n v="0.1045"/>
    <n v="42"/>
    <n v="115"/>
    <n v="157"/>
    <x v="1"/>
    <x v="0"/>
    <s v="0.10-0.20"/>
    <s v="0.40-0.50"/>
  </r>
  <r>
    <n v="823"/>
    <x v="8"/>
    <n v="1"/>
    <x v="15"/>
    <s v="False"/>
    <n v="0"/>
    <n v="1"/>
    <n v="0.34"/>
    <n v="0.36359999999999998"/>
    <n v="0.46"/>
    <n v="0"/>
    <n v="24"/>
    <n v="97"/>
    <n v="121"/>
    <x v="1"/>
    <x v="0"/>
    <s v="0.00 -0.10"/>
    <s v="0.40-0.50"/>
  </r>
  <r>
    <n v="824"/>
    <x v="8"/>
    <n v="1"/>
    <x v="16"/>
    <s v="False"/>
    <n v="0"/>
    <n v="1"/>
    <n v="0.3"/>
    <n v="0.30299999999999999"/>
    <n v="0.56000000000000005"/>
    <n v="0.16420000000000001"/>
    <n v="13"/>
    <n v="65"/>
    <n v="78"/>
    <x v="1"/>
    <x v="0"/>
    <s v="0.10-0.20"/>
    <s v="0.50-0.60"/>
  </r>
  <r>
    <n v="825"/>
    <x v="8"/>
    <n v="1"/>
    <x v="17"/>
    <s v="False"/>
    <n v="0"/>
    <n v="1"/>
    <n v="0.28000000000000003"/>
    <n v="0.28789999999999999"/>
    <n v="0.61"/>
    <n v="0.1343"/>
    <n v="1"/>
    <n v="20"/>
    <n v="21"/>
    <x v="1"/>
    <x v="0"/>
    <s v="0.10-0.20"/>
    <s v="0.60-0.70"/>
  </r>
  <r>
    <n v="826"/>
    <x v="8"/>
    <n v="1"/>
    <x v="18"/>
    <s v="False"/>
    <n v="0"/>
    <n v="1"/>
    <n v="0.28000000000000003"/>
    <n v="0.28789999999999999"/>
    <n v="0.61"/>
    <n v="0.1045"/>
    <n v="5"/>
    <n v="21"/>
    <n v="26"/>
    <x v="1"/>
    <x v="0"/>
    <s v="0.10-0.20"/>
    <s v="0.60-0.70"/>
  </r>
  <r>
    <n v="827"/>
    <x v="8"/>
    <n v="1"/>
    <x v="19"/>
    <s v="False"/>
    <n v="0"/>
    <n v="1"/>
    <n v="0.26"/>
    <n v="0.30299999999999999"/>
    <n v="0.6"/>
    <n v="0"/>
    <n v="5"/>
    <n v="22"/>
    <n v="27"/>
    <x v="1"/>
    <x v="0"/>
    <s v="0.00 -0.10"/>
    <s v="0.50-0.60"/>
  </r>
  <r>
    <n v="828"/>
    <x v="8"/>
    <n v="1"/>
    <x v="20"/>
    <s v="False"/>
    <n v="0"/>
    <n v="1"/>
    <n v="0.26"/>
    <n v="0.30299999999999999"/>
    <n v="0.6"/>
    <n v="0"/>
    <n v="5"/>
    <n v="57"/>
    <n v="62"/>
    <x v="1"/>
    <x v="0"/>
    <s v="0.00 -0.10"/>
    <s v="0.50-0.60"/>
  </r>
  <r>
    <n v="829"/>
    <x v="8"/>
    <n v="1"/>
    <x v="21"/>
    <s v="False"/>
    <n v="0"/>
    <n v="1"/>
    <n v="0.24"/>
    <n v="0.28789999999999999"/>
    <n v="0.65"/>
    <n v="0"/>
    <n v="4"/>
    <n v="26"/>
    <n v="30"/>
    <x v="1"/>
    <x v="0"/>
    <s v="0.00 -0.10"/>
    <s v="0.60-0.70"/>
  </r>
  <r>
    <n v="830"/>
    <x v="9"/>
    <n v="1"/>
    <x v="22"/>
    <s v="False"/>
    <n v="1"/>
    <n v="1"/>
    <n v="0.24"/>
    <n v="0.28789999999999999"/>
    <n v="0.65"/>
    <n v="0"/>
    <n v="1"/>
    <n v="14"/>
    <n v="15"/>
    <x v="2"/>
    <x v="0"/>
    <s v="0.00 -0.10"/>
    <s v="0.60-0.70"/>
  </r>
  <r>
    <n v="831"/>
    <x v="9"/>
    <n v="1"/>
    <x v="0"/>
    <s v="False"/>
    <n v="1"/>
    <n v="1"/>
    <n v="0.22"/>
    <n v="0.2727"/>
    <n v="0.75"/>
    <n v="0"/>
    <n v="1"/>
    <n v="4"/>
    <n v="5"/>
    <x v="2"/>
    <x v="0"/>
    <s v="0.00 -0.10"/>
    <s v="0.70-0.80"/>
  </r>
  <r>
    <n v="832"/>
    <x v="9"/>
    <n v="1"/>
    <x v="1"/>
    <s v="False"/>
    <n v="1"/>
    <n v="1"/>
    <n v="0.2"/>
    <n v="0.2576"/>
    <n v="0.8"/>
    <n v="0"/>
    <n v="0"/>
    <n v="3"/>
    <n v="3"/>
    <x v="2"/>
    <x v="0"/>
    <s v="0.00 -0.10"/>
    <s v="0.70-0.80"/>
  </r>
  <r>
    <n v="833"/>
    <x v="9"/>
    <n v="1"/>
    <x v="2"/>
    <s v="False"/>
    <n v="1"/>
    <n v="1"/>
    <n v="0.2"/>
    <n v="0.2576"/>
    <n v="0.86"/>
    <n v="0"/>
    <n v="0"/>
    <n v="1"/>
    <n v="1"/>
    <x v="2"/>
    <x v="0"/>
    <s v="0.00 -0.10"/>
    <s v="0.80-0.90"/>
  </r>
  <r>
    <n v="834"/>
    <x v="9"/>
    <n v="1"/>
    <x v="3"/>
    <s v="False"/>
    <n v="1"/>
    <n v="1"/>
    <n v="0.2"/>
    <n v="0.2576"/>
    <n v="0.86"/>
    <n v="0"/>
    <n v="1"/>
    <n v="1"/>
    <n v="2"/>
    <x v="2"/>
    <x v="0"/>
    <s v="0.00 -0.10"/>
    <s v="0.80-0.90"/>
  </r>
  <r>
    <n v="835"/>
    <x v="9"/>
    <n v="1"/>
    <x v="23"/>
    <s v="False"/>
    <n v="1"/>
    <n v="1"/>
    <n v="0.2"/>
    <n v="0.2576"/>
    <n v="0.86"/>
    <n v="0"/>
    <n v="1"/>
    <n v="9"/>
    <n v="10"/>
    <x v="2"/>
    <x v="0"/>
    <s v="0.00 -0.10"/>
    <s v="0.80-0.90"/>
  </r>
  <r>
    <n v="836"/>
    <x v="9"/>
    <n v="1"/>
    <x v="4"/>
    <s v="False"/>
    <n v="1"/>
    <n v="1"/>
    <n v="0.18"/>
    <n v="0.2424"/>
    <n v="0.93"/>
    <n v="0"/>
    <n v="1"/>
    <n v="29"/>
    <n v="30"/>
    <x v="2"/>
    <x v="0"/>
    <s v="0.00 -0.10"/>
    <s v="0.90-1.00"/>
  </r>
  <r>
    <n v="837"/>
    <x v="9"/>
    <n v="1"/>
    <x v="5"/>
    <s v="False"/>
    <n v="1"/>
    <n v="1"/>
    <n v="0.18"/>
    <n v="0.2424"/>
    <n v="0.86"/>
    <n v="0"/>
    <n v="6"/>
    <n v="89"/>
    <n v="95"/>
    <x v="2"/>
    <x v="0"/>
    <s v="0.00 -0.10"/>
    <s v="0.80-0.90"/>
  </r>
  <r>
    <n v="838"/>
    <x v="9"/>
    <n v="1"/>
    <x v="6"/>
    <s v="False"/>
    <n v="1"/>
    <n v="2"/>
    <n v="0.16"/>
    <n v="0.2273"/>
    <n v="1"/>
    <n v="0"/>
    <n v="7"/>
    <n v="223"/>
    <n v="230"/>
    <x v="2"/>
    <x v="1"/>
    <s v="0.00 -0.10"/>
    <s v="0.90-1.00"/>
  </r>
  <r>
    <n v="839"/>
    <x v="9"/>
    <n v="1"/>
    <x v="7"/>
    <s v="False"/>
    <n v="1"/>
    <n v="1"/>
    <n v="0.22"/>
    <n v="0.2727"/>
    <n v="0.8"/>
    <n v="0"/>
    <n v="3"/>
    <n v="115"/>
    <n v="118"/>
    <x v="2"/>
    <x v="0"/>
    <s v="0.00 -0.10"/>
    <s v="0.70-0.80"/>
  </r>
  <r>
    <n v="840"/>
    <x v="9"/>
    <n v="1"/>
    <x v="8"/>
    <s v="False"/>
    <n v="1"/>
    <n v="1"/>
    <n v="0.24"/>
    <n v="0.2576"/>
    <n v="0.75"/>
    <n v="0.1045"/>
    <n v="6"/>
    <n v="49"/>
    <n v="55"/>
    <x v="2"/>
    <x v="0"/>
    <s v="0.10-0.20"/>
    <s v="0.70-0.80"/>
  </r>
  <r>
    <n v="841"/>
    <x v="9"/>
    <n v="1"/>
    <x v="9"/>
    <s v="False"/>
    <n v="1"/>
    <n v="1"/>
    <n v="0.3"/>
    <n v="0.31819999999999998"/>
    <n v="0.65"/>
    <n v="8.9599999999999999E-2"/>
    <n v="11"/>
    <n v="36"/>
    <n v="47"/>
    <x v="2"/>
    <x v="0"/>
    <s v="0.00 -0.10"/>
    <s v="0.60-0.70"/>
  </r>
  <r>
    <n v="842"/>
    <x v="9"/>
    <n v="1"/>
    <x v="10"/>
    <s v="False"/>
    <n v="1"/>
    <n v="2"/>
    <n v="0.32"/>
    <n v="0.34849999999999998"/>
    <n v="0.62"/>
    <n v="0"/>
    <n v="7"/>
    <n v="59"/>
    <n v="66"/>
    <x v="2"/>
    <x v="1"/>
    <s v="0.00 -0.10"/>
    <s v="0.60-0.70"/>
  </r>
  <r>
    <n v="843"/>
    <x v="9"/>
    <n v="1"/>
    <x v="11"/>
    <s v="False"/>
    <n v="1"/>
    <n v="2"/>
    <n v="0.36"/>
    <n v="0.36359999999999998"/>
    <n v="0.56999999999999995"/>
    <n v="8.9599999999999999E-2"/>
    <n v="10"/>
    <n v="54"/>
    <n v="64"/>
    <x v="2"/>
    <x v="1"/>
    <s v="0.00 -0.10"/>
    <s v="0.50-0.60"/>
  </r>
  <r>
    <n v="844"/>
    <x v="9"/>
    <n v="1"/>
    <x v="12"/>
    <s v="False"/>
    <n v="1"/>
    <n v="2"/>
    <n v="0.36"/>
    <n v="0.36359999999999998"/>
    <n v="0.56999999999999995"/>
    <n v="8.9599999999999999E-2"/>
    <n v="8"/>
    <n v="52"/>
    <n v="60"/>
    <x v="2"/>
    <x v="1"/>
    <s v="0.00 -0.10"/>
    <s v="0.50-0.60"/>
  </r>
  <r>
    <n v="845"/>
    <x v="9"/>
    <n v="1"/>
    <x v="13"/>
    <s v="False"/>
    <n v="1"/>
    <n v="2"/>
    <n v="0.38"/>
    <n v="0.39389999999999997"/>
    <n v="0.54"/>
    <n v="8.9599999999999999E-2"/>
    <n v="4"/>
    <n v="46"/>
    <n v="50"/>
    <x v="2"/>
    <x v="1"/>
    <s v="0.00 -0.10"/>
    <s v="0.50-0.60"/>
  </r>
  <r>
    <n v="846"/>
    <x v="9"/>
    <n v="1"/>
    <x v="14"/>
    <s v="False"/>
    <n v="1"/>
    <n v="2"/>
    <n v="0.36"/>
    <n v="0.34849999999999998"/>
    <n v="0.56999999999999995"/>
    <n v="0.1343"/>
    <n v="16"/>
    <n v="98"/>
    <n v="114"/>
    <x v="2"/>
    <x v="1"/>
    <s v="0.10-0.20"/>
    <s v="0.50-0.60"/>
  </r>
  <r>
    <n v="847"/>
    <x v="9"/>
    <n v="1"/>
    <x v="15"/>
    <s v="False"/>
    <n v="1"/>
    <n v="2"/>
    <n v="0.32"/>
    <n v="0.31819999999999998"/>
    <n v="0.7"/>
    <n v="0.16420000000000001"/>
    <n v="9"/>
    <n v="207"/>
    <n v="216"/>
    <x v="2"/>
    <x v="1"/>
    <s v="0.10-0.20"/>
    <s v="0.60-0.70"/>
  </r>
  <r>
    <n v="848"/>
    <x v="9"/>
    <n v="1"/>
    <x v="16"/>
    <s v="False"/>
    <n v="1"/>
    <n v="2"/>
    <n v="0.34"/>
    <n v="0.33329999999999999"/>
    <n v="0.66"/>
    <n v="0.1343"/>
    <n v="5"/>
    <n v="170"/>
    <n v="175"/>
    <x v="2"/>
    <x v="1"/>
    <s v="0.10-0.20"/>
    <s v="0.60-0.70"/>
  </r>
  <r>
    <n v="849"/>
    <x v="9"/>
    <n v="1"/>
    <x v="17"/>
    <s v="False"/>
    <n v="1"/>
    <n v="2"/>
    <n v="0.32"/>
    <n v="0.34849999999999998"/>
    <n v="0.7"/>
    <n v="0"/>
    <n v="5"/>
    <n v="123"/>
    <n v="128"/>
    <x v="2"/>
    <x v="1"/>
    <s v="0.00 -0.10"/>
    <s v="0.60-0.70"/>
  </r>
  <r>
    <n v="850"/>
    <x v="9"/>
    <n v="1"/>
    <x v="18"/>
    <s v="False"/>
    <n v="1"/>
    <n v="2"/>
    <n v="0.32"/>
    <n v="0.33329999999999999"/>
    <n v="0.7"/>
    <n v="0.1045"/>
    <n v="6"/>
    <n v="82"/>
    <n v="88"/>
    <x v="2"/>
    <x v="1"/>
    <s v="0.10-0.20"/>
    <s v="0.60-0.70"/>
  </r>
  <r>
    <n v="851"/>
    <x v="9"/>
    <n v="1"/>
    <x v="19"/>
    <s v="False"/>
    <n v="1"/>
    <n v="1"/>
    <n v="0.32"/>
    <n v="0.34849999999999998"/>
    <n v="0.7"/>
    <n v="0"/>
    <n v="3"/>
    <n v="75"/>
    <n v="78"/>
    <x v="2"/>
    <x v="0"/>
    <s v="0.00 -0.10"/>
    <s v="0.60-0.70"/>
  </r>
  <r>
    <n v="852"/>
    <x v="9"/>
    <n v="1"/>
    <x v="20"/>
    <s v="False"/>
    <n v="1"/>
    <n v="1"/>
    <n v="0.28000000000000003"/>
    <n v="0.30299999999999999"/>
    <n v="0.81"/>
    <n v="8.9599999999999999E-2"/>
    <n v="3"/>
    <n v="34"/>
    <n v="37"/>
    <x v="2"/>
    <x v="0"/>
    <s v="0.00 -0.10"/>
    <s v="0.80-0.90"/>
  </r>
  <r>
    <n v="853"/>
    <x v="9"/>
    <n v="1"/>
    <x v="21"/>
    <s v="False"/>
    <n v="1"/>
    <n v="2"/>
    <n v="0.3"/>
    <n v="0.33329999999999999"/>
    <n v="0.81"/>
    <n v="0"/>
    <n v="6"/>
    <n v="19"/>
    <n v="25"/>
    <x v="2"/>
    <x v="1"/>
    <s v="0.00 -0.10"/>
    <s v="0.80-0.90"/>
  </r>
  <r>
    <n v="854"/>
    <x v="10"/>
    <n v="1"/>
    <x v="22"/>
    <s v="False"/>
    <n v="2"/>
    <n v="2"/>
    <n v="0.28000000000000003"/>
    <n v="0.31819999999999998"/>
    <n v="0.87"/>
    <n v="0"/>
    <n v="4"/>
    <n v="6"/>
    <n v="10"/>
    <x v="3"/>
    <x v="1"/>
    <s v="0.00 -0.10"/>
    <s v="0.80-0.90"/>
  </r>
  <r>
    <n v="855"/>
    <x v="10"/>
    <n v="1"/>
    <x v="0"/>
    <s v="False"/>
    <n v="2"/>
    <n v="2"/>
    <n v="0.28000000000000003"/>
    <n v="0.31819999999999998"/>
    <n v="0.87"/>
    <n v="0"/>
    <n v="0"/>
    <n v="4"/>
    <n v="4"/>
    <x v="3"/>
    <x v="1"/>
    <s v="0.00 -0.10"/>
    <s v="0.80-0.90"/>
  </r>
  <r>
    <n v="856"/>
    <x v="10"/>
    <n v="1"/>
    <x v="1"/>
    <s v="False"/>
    <n v="2"/>
    <n v="2"/>
    <n v="0.26"/>
    <n v="0.2727"/>
    <n v="0.93"/>
    <n v="0.1045"/>
    <n v="1"/>
    <n v="1"/>
    <n v="2"/>
    <x v="3"/>
    <x v="1"/>
    <s v="0.10-0.20"/>
    <s v="0.90-1.00"/>
  </r>
  <r>
    <n v="857"/>
    <x v="10"/>
    <n v="1"/>
    <x v="2"/>
    <s v="False"/>
    <n v="2"/>
    <n v="3"/>
    <n v="0.28000000000000003"/>
    <n v="0.2727"/>
    <n v="0.93"/>
    <n v="0.16420000000000001"/>
    <n v="0"/>
    <n v="1"/>
    <n v="1"/>
    <x v="3"/>
    <x v="2"/>
    <s v="0.10-0.20"/>
    <s v="0.90-1.00"/>
  </r>
  <r>
    <n v="858"/>
    <x v="10"/>
    <n v="1"/>
    <x v="3"/>
    <s v="False"/>
    <n v="2"/>
    <n v="1"/>
    <n v="0.26"/>
    <n v="0.2576"/>
    <n v="0.93"/>
    <n v="0.16420000000000001"/>
    <n v="0"/>
    <n v="3"/>
    <n v="3"/>
    <x v="3"/>
    <x v="0"/>
    <s v="0.10-0.20"/>
    <s v="0.90-1.00"/>
  </r>
  <r>
    <n v="859"/>
    <x v="10"/>
    <n v="1"/>
    <x v="23"/>
    <s v="False"/>
    <n v="2"/>
    <n v="1"/>
    <n v="0.26"/>
    <n v="0.2273"/>
    <n v="0.81"/>
    <n v="0.32840000000000003"/>
    <n v="0"/>
    <n v="2"/>
    <n v="2"/>
    <x v="3"/>
    <x v="0"/>
    <s v="0.30-0.40"/>
    <s v="0.80-0.90"/>
  </r>
  <r>
    <n v="860"/>
    <x v="10"/>
    <n v="1"/>
    <x v="4"/>
    <s v="False"/>
    <n v="2"/>
    <n v="1"/>
    <n v="0.26"/>
    <n v="0.2273"/>
    <n v="0.7"/>
    <n v="0.32840000000000003"/>
    <n v="0"/>
    <n v="39"/>
    <n v="39"/>
    <x v="3"/>
    <x v="0"/>
    <s v="0.30-0.40"/>
    <s v="0.60-0.70"/>
  </r>
  <r>
    <n v="861"/>
    <x v="10"/>
    <n v="1"/>
    <x v="5"/>
    <s v="False"/>
    <n v="2"/>
    <n v="1"/>
    <n v="0.24"/>
    <n v="0.19700000000000001"/>
    <n v="0.65"/>
    <n v="0.41789999999999999"/>
    <n v="3"/>
    <n v="97"/>
    <n v="100"/>
    <x v="3"/>
    <x v="0"/>
    <s v="0.40-0.50"/>
    <s v="0.60-0.70"/>
  </r>
  <r>
    <n v="862"/>
    <x v="10"/>
    <n v="1"/>
    <x v="6"/>
    <s v="False"/>
    <n v="2"/>
    <n v="1"/>
    <n v="0.24"/>
    <n v="0.19700000000000001"/>
    <n v="0.56000000000000005"/>
    <n v="0.49249999999999999"/>
    <n v="7"/>
    <n v="236"/>
    <n v="243"/>
    <x v="3"/>
    <x v="0"/>
    <s v="0.40-0.50"/>
    <s v="0.50-0.60"/>
  </r>
  <r>
    <n v="863"/>
    <x v="10"/>
    <n v="1"/>
    <x v="7"/>
    <s v="False"/>
    <n v="2"/>
    <n v="1"/>
    <n v="0.24"/>
    <n v="0.19700000000000001"/>
    <n v="0.52"/>
    <n v="0.49249999999999999"/>
    <n v="7"/>
    <n v="128"/>
    <n v="135"/>
    <x v="3"/>
    <x v="0"/>
    <s v="0.40-0.50"/>
    <s v="0.50-0.60"/>
  </r>
  <r>
    <n v="864"/>
    <x v="10"/>
    <n v="1"/>
    <x v="8"/>
    <s v="False"/>
    <n v="2"/>
    <n v="1"/>
    <n v="0.22"/>
    <n v="0.18179999999999999"/>
    <n v="0.47"/>
    <n v="0.55220000000000002"/>
    <n v="4"/>
    <n v="44"/>
    <n v="48"/>
    <x v="3"/>
    <x v="0"/>
    <s v="0.50-0.60"/>
    <s v="0.40-0.50"/>
  </r>
  <r>
    <n v="865"/>
    <x v="10"/>
    <n v="1"/>
    <x v="9"/>
    <s v="False"/>
    <n v="2"/>
    <n v="1"/>
    <n v="0.22"/>
    <n v="0.18179999999999999"/>
    <n v="0.47"/>
    <n v="0.4627"/>
    <n v="1"/>
    <n v="49"/>
    <n v="50"/>
    <x v="3"/>
    <x v="0"/>
    <s v="0.40-0.50"/>
    <s v="0.40-0.50"/>
  </r>
  <r>
    <n v="866"/>
    <x v="10"/>
    <n v="1"/>
    <x v="10"/>
    <s v="False"/>
    <n v="2"/>
    <n v="1"/>
    <n v="0.24"/>
    <n v="0.19700000000000001"/>
    <n v="0.38"/>
    <n v="0.49249999999999999"/>
    <n v="2"/>
    <n v="63"/>
    <n v="65"/>
    <x v="3"/>
    <x v="0"/>
    <s v="0.40-0.50"/>
    <s v="0.30-0.40"/>
  </r>
  <r>
    <n v="867"/>
    <x v="10"/>
    <n v="1"/>
    <x v="11"/>
    <s v="False"/>
    <n v="2"/>
    <n v="2"/>
    <n v="0.24"/>
    <n v="0.19700000000000001"/>
    <n v="0.32"/>
    <n v="0.44779999999999998"/>
    <n v="2"/>
    <n v="48"/>
    <n v="50"/>
    <x v="3"/>
    <x v="1"/>
    <s v="0.40-0.50"/>
    <s v="0.30-0.40"/>
  </r>
  <r>
    <n v="868"/>
    <x v="10"/>
    <n v="1"/>
    <x v="12"/>
    <s v="False"/>
    <n v="2"/>
    <n v="1"/>
    <n v="0.22"/>
    <n v="0.19700000000000001"/>
    <n v="0.37"/>
    <n v="0.41789999999999999"/>
    <n v="3"/>
    <n v="61"/>
    <n v="64"/>
    <x v="3"/>
    <x v="0"/>
    <s v="0.40-0.50"/>
    <s v="0.30-0.40"/>
  </r>
  <r>
    <n v="869"/>
    <x v="10"/>
    <n v="1"/>
    <x v="13"/>
    <s v="False"/>
    <n v="2"/>
    <n v="1"/>
    <n v="0.22"/>
    <n v="0.19700000000000001"/>
    <n v="0.35"/>
    <n v="0.3881"/>
    <n v="6"/>
    <n v="45"/>
    <n v="51"/>
    <x v="3"/>
    <x v="0"/>
    <s v="0.30-0.40"/>
    <s v="0.30-0.40"/>
  </r>
  <r>
    <n v="870"/>
    <x v="10"/>
    <n v="1"/>
    <x v="14"/>
    <s v="False"/>
    <n v="2"/>
    <n v="1"/>
    <n v="0.22"/>
    <n v="0.18179999999999999"/>
    <n v="0.35"/>
    <n v="0.52239999999999998"/>
    <n v="4"/>
    <n v="79"/>
    <n v="83"/>
    <x v="3"/>
    <x v="0"/>
    <s v="0.50-0.60"/>
    <s v="0.30-0.40"/>
  </r>
  <r>
    <n v="871"/>
    <x v="10"/>
    <n v="1"/>
    <x v="15"/>
    <s v="False"/>
    <n v="2"/>
    <n v="1"/>
    <n v="0.22"/>
    <n v="0.18179999999999999"/>
    <n v="0.32"/>
    <n v="0.58209999999999995"/>
    <n v="4"/>
    <n v="172"/>
    <n v="176"/>
    <x v="3"/>
    <x v="0"/>
    <s v="0.50-0.60"/>
    <s v="0.30-0.40"/>
  </r>
  <r>
    <n v="872"/>
    <x v="10"/>
    <n v="1"/>
    <x v="16"/>
    <s v="False"/>
    <n v="2"/>
    <n v="1"/>
    <n v="0.2"/>
    <n v="0.18179999999999999"/>
    <n v="0.32"/>
    <n v="0.3881"/>
    <n v="1"/>
    <n v="151"/>
    <n v="152"/>
    <x v="3"/>
    <x v="0"/>
    <s v="0.30-0.40"/>
    <s v="0.30-0.40"/>
  </r>
  <r>
    <n v="873"/>
    <x v="10"/>
    <n v="1"/>
    <x v="17"/>
    <s v="False"/>
    <n v="2"/>
    <n v="1"/>
    <n v="0.16"/>
    <n v="0.1212"/>
    <n v="0.4"/>
    <n v="0.4627"/>
    <n v="1"/>
    <n v="100"/>
    <n v="101"/>
    <x v="3"/>
    <x v="0"/>
    <s v="0.40-0.50"/>
    <s v="0.30-0.40"/>
  </r>
  <r>
    <n v="874"/>
    <x v="10"/>
    <n v="1"/>
    <x v="18"/>
    <s v="False"/>
    <n v="2"/>
    <n v="1"/>
    <n v="0.16"/>
    <n v="0.13639999999999999"/>
    <n v="0.4"/>
    <n v="0.32840000000000003"/>
    <n v="3"/>
    <n v="53"/>
    <n v="56"/>
    <x v="3"/>
    <x v="0"/>
    <s v="0.30-0.40"/>
    <s v="0.30-0.40"/>
  </r>
  <r>
    <n v="875"/>
    <x v="10"/>
    <n v="1"/>
    <x v="19"/>
    <s v="False"/>
    <n v="2"/>
    <n v="1"/>
    <n v="0.14000000000000001"/>
    <n v="0.1061"/>
    <n v="0.33"/>
    <n v="0.4627"/>
    <n v="8"/>
    <n v="46"/>
    <n v="54"/>
    <x v="3"/>
    <x v="0"/>
    <s v="0.40-0.50"/>
    <s v="0.30-0.40"/>
  </r>
  <r>
    <n v="876"/>
    <x v="10"/>
    <n v="1"/>
    <x v="20"/>
    <s v="False"/>
    <n v="2"/>
    <n v="1"/>
    <n v="0.12"/>
    <n v="0.1061"/>
    <n v="0.33"/>
    <n v="0.35820000000000002"/>
    <n v="0"/>
    <n v="29"/>
    <n v="29"/>
    <x v="3"/>
    <x v="0"/>
    <s v="0.30-0.40"/>
    <s v="0.30-0.40"/>
  </r>
  <r>
    <n v="877"/>
    <x v="10"/>
    <n v="1"/>
    <x v="21"/>
    <s v="False"/>
    <n v="2"/>
    <n v="1"/>
    <n v="0.12"/>
    <n v="0.1061"/>
    <n v="0.33"/>
    <n v="0.32840000000000003"/>
    <n v="3"/>
    <n v="9"/>
    <n v="12"/>
    <x v="3"/>
    <x v="0"/>
    <s v="0.30-0.40"/>
    <s v="0.30-0.40"/>
  </r>
  <r>
    <n v="878"/>
    <x v="11"/>
    <n v="1"/>
    <x v="22"/>
    <s v="False"/>
    <n v="3"/>
    <n v="1"/>
    <n v="0.1"/>
    <n v="7.5800000000000006E-2"/>
    <n v="0.36"/>
    <n v="0.35820000000000002"/>
    <n v="0"/>
    <n v="17"/>
    <n v="17"/>
    <x v="4"/>
    <x v="0"/>
    <s v="0.30-0.40"/>
    <s v="0.30-0.40"/>
  </r>
  <r>
    <n v="879"/>
    <x v="11"/>
    <n v="1"/>
    <x v="0"/>
    <s v="False"/>
    <n v="3"/>
    <n v="1"/>
    <n v="0.1"/>
    <n v="0.1061"/>
    <n v="0.36"/>
    <n v="0.22389999999999999"/>
    <n v="0"/>
    <n v="7"/>
    <n v="7"/>
    <x v="4"/>
    <x v="0"/>
    <s v="0.20-0.30"/>
    <s v="0.30-0.40"/>
  </r>
  <r>
    <n v="880"/>
    <x v="11"/>
    <n v="1"/>
    <x v="1"/>
    <s v="False"/>
    <n v="3"/>
    <n v="1"/>
    <n v="0.08"/>
    <n v="7.5800000000000006E-2"/>
    <n v="0.38"/>
    <n v="0.28360000000000002"/>
    <n v="1"/>
    <n v="2"/>
    <n v="3"/>
    <x v="4"/>
    <x v="0"/>
    <s v="0.20-0.30"/>
    <s v="0.30-0.40"/>
  </r>
  <r>
    <n v="881"/>
    <x v="11"/>
    <n v="1"/>
    <x v="2"/>
    <s v="False"/>
    <n v="3"/>
    <n v="1"/>
    <n v="0.06"/>
    <n v="7.5800000000000006E-2"/>
    <n v="0.45"/>
    <n v="0.1343"/>
    <n v="0"/>
    <n v="2"/>
    <n v="2"/>
    <x v="4"/>
    <x v="0"/>
    <s v="0.10-0.20"/>
    <s v="0.40-0.50"/>
  </r>
  <r>
    <n v="882"/>
    <x v="11"/>
    <n v="1"/>
    <x v="23"/>
    <s v="False"/>
    <n v="3"/>
    <n v="1"/>
    <n v="0.06"/>
    <n v="0.1061"/>
    <n v="0.45"/>
    <n v="0.1045"/>
    <n v="0"/>
    <n v="7"/>
    <n v="7"/>
    <x v="4"/>
    <x v="0"/>
    <s v="0.10-0.20"/>
    <s v="0.40-0.50"/>
  </r>
  <r>
    <n v="883"/>
    <x v="11"/>
    <n v="1"/>
    <x v="4"/>
    <s v="False"/>
    <n v="3"/>
    <n v="1"/>
    <n v="0.06"/>
    <n v="0.1515"/>
    <n v="0.45"/>
    <n v="0"/>
    <n v="0"/>
    <n v="43"/>
    <n v="43"/>
    <x v="4"/>
    <x v="0"/>
    <s v="0.00 -0.10"/>
    <s v="0.40-0.50"/>
  </r>
  <r>
    <n v="884"/>
    <x v="11"/>
    <n v="1"/>
    <x v="5"/>
    <s v="False"/>
    <n v="3"/>
    <n v="1"/>
    <n v="0.06"/>
    <n v="0.1061"/>
    <n v="0.49"/>
    <n v="0.1045"/>
    <n v="4"/>
    <n v="95"/>
    <n v="99"/>
    <x v="4"/>
    <x v="0"/>
    <s v="0.10-0.20"/>
    <s v="0.40-0.50"/>
  </r>
  <r>
    <n v="885"/>
    <x v="11"/>
    <n v="1"/>
    <x v="6"/>
    <s v="False"/>
    <n v="3"/>
    <n v="1"/>
    <n v="0.1"/>
    <n v="0.13639999999999999"/>
    <n v="0.42"/>
    <n v="0"/>
    <n v="1"/>
    <n v="198"/>
    <n v="199"/>
    <x v="4"/>
    <x v="0"/>
    <s v="0.00 -0.10"/>
    <s v="0.40-0.50"/>
  </r>
  <r>
    <n v="886"/>
    <x v="11"/>
    <n v="1"/>
    <x v="7"/>
    <s v="False"/>
    <n v="3"/>
    <n v="1"/>
    <n v="0.12"/>
    <n v="0.13639999999999999"/>
    <n v="0.39"/>
    <n v="0.16420000000000001"/>
    <n v="4"/>
    <n v="119"/>
    <n v="123"/>
    <x v="4"/>
    <x v="0"/>
    <s v="0.10-0.20"/>
    <s v="0.30-0.40"/>
  </r>
  <r>
    <n v="887"/>
    <x v="11"/>
    <n v="1"/>
    <x v="8"/>
    <s v="False"/>
    <n v="3"/>
    <n v="1"/>
    <n v="0.14000000000000001"/>
    <n v="0.18179999999999999"/>
    <n v="0.36"/>
    <n v="0"/>
    <n v="8"/>
    <n v="51"/>
    <n v="59"/>
    <x v="4"/>
    <x v="0"/>
    <s v="0.00 -0.10"/>
    <s v="0.30-0.40"/>
  </r>
  <r>
    <n v="888"/>
    <x v="11"/>
    <n v="1"/>
    <x v="9"/>
    <s v="False"/>
    <n v="3"/>
    <n v="2"/>
    <n v="0.14000000000000001"/>
    <n v="0.1515"/>
    <n v="0.43"/>
    <n v="0.16420000000000001"/>
    <n v="1"/>
    <n v="40"/>
    <n v="41"/>
    <x v="4"/>
    <x v="1"/>
    <s v="0.10-0.20"/>
    <s v="0.40-0.50"/>
  </r>
  <r>
    <n v="889"/>
    <x v="11"/>
    <n v="1"/>
    <x v="10"/>
    <s v="False"/>
    <n v="3"/>
    <n v="2"/>
    <n v="0.18"/>
    <n v="0.18179999999999999"/>
    <n v="0.4"/>
    <n v="0.22389999999999999"/>
    <n v="4"/>
    <n v="57"/>
    <n v="61"/>
    <x v="4"/>
    <x v="1"/>
    <s v="0.20-0.30"/>
    <s v="0.30-0.40"/>
  </r>
  <r>
    <n v="890"/>
    <x v="11"/>
    <n v="1"/>
    <x v="11"/>
    <s v="False"/>
    <n v="3"/>
    <n v="1"/>
    <n v="0.18"/>
    <n v="0.16669999999999999"/>
    <n v="0.4"/>
    <n v="0.25369999999999998"/>
    <n v="2"/>
    <n v="67"/>
    <n v="69"/>
    <x v="4"/>
    <x v="0"/>
    <s v="0.20-0.30"/>
    <s v="0.30-0.40"/>
  </r>
  <r>
    <n v="891"/>
    <x v="11"/>
    <n v="1"/>
    <x v="12"/>
    <s v="False"/>
    <n v="3"/>
    <n v="1"/>
    <n v="0.2"/>
    <n v="0.18179999999999999"/>
    <n v="0.34"/>
    <n v="0.29849999999999999"/>
    <n v="2"/>
    <n v="56"/>
    <n v="58"/>
    <x v="4"/>
    <x v="0"/>
    <s v="0.20-0.30"/>
    <s v="0.30-0.40"/>
  </r>
  <r>
    <n v="892"/>
    <x v="11"/>
    <n v="1"/>
    <x v="13"/>
    <s v="False"/>
    <n v="3"/>
    <n v="2"/>
    <n v="0.2"/>
    <n v="0.18179999999999999"/>
    <n v="0.34"/>
    <n v="0.28360000000000002"/>
    <n v="3"/>
    <n v="61"/>
    <n v="64"/>
    <x v="4"/>
    <x v="1"/>
    <s v="0.20-0.30"/>
    <s v="0.30-0.40"/>
  </r>
  <r>
    <n v="893"/>
    <x v="11"/>
    <n v="1"/>
    <x v="14"/>
    <s v="False"/>
    <n v="3"/>
    <n v="2"/>
    <n v="0.2"/>
    <n v="0.19700000000000001"/>
    <n v="0.37"/>
    <n v="0.25369999999999998"/>
    <n v="7"/>
    <n v="72"/>
    <n v="79"/>
    <x v="4"/>
    <x v="1"/>
    <s v="0.20-0.30"/>
    <s v="0.30-0.40"/>
  </r>
  <r>
    <n v="894"/>
    <x v="11"/>
    <n v="1"/>
    <x v="15"/>
    <s v="False"/>
    <n v="3"/>
    <n v="2"/>
    <n v="0.2"/>
    <n v="0.19700000000000001"/>
    <n v="0.34"/>
    <n v="0.25369999999999998"/>
    <n v="9"/>
    <n v="157"/>
    <n v="166"/>
    <x v="4"/>
    <x v="1"/>
    <s v="0.20-0.30"/>
    <s v="0.30-0.40"/>
  </r>
  <r>
    <n v="895"/>
    <x v="11"/>
    <n v="1"/>
    <x v="16"/>
    <s v="False"/>
    <n v="3"/>
    <n v="2"/>
    <n v="0.18"/>
    <n v="0.16669999999999999"/>
    <n v="0.47"/>
    <n v="0.29849999999999999"/>
    <n v="2"/>
    <n v="168"/>
    <n v="170"/>
    <x v="4"/>
    <x v="1"/>
    <s v="0.20-0.30"/>
    <s v="0.40-0.50"/>
  </r>
  <r>
    <n v="896"/>
    <x v="11"/>
    <n v="1"/>
    <x v="17"/>
    <s v="False"/>
    <n v="3"/>
    <n v="3"/>
    <n v="0.14000000000000001"/>
    <n v="0.1212"/>
    <n v="0.86"/>
    <n v="0.25369999999999998"/>
    <n v="1"/>
    <n v="87"/>
    <n v="88"/>
    <x v="4"/>
    <x v="2"/>
    <s v="0.20-0.30"/>
    <s v="0.80-0.90"/>
  </r>
  <r>
    <n v="897"/>
    <x v="11"/>
    <n v="1"/>
    <x v="18"/>
    <s v="False"/>
    <n v="3"/>
    <n v="3"/>
    <n v="0.14000000000000001"/>
    <n v="0.1515"/>
    <n v="0.86"/>
    <n v="0.16420000000000001"/>
    <n v="0"/>
    <n v="84"/>
    <n v="84"/>
    <x v="4"/>
    <x v="2"/>
    <s v="0.10-0.20"/>
    <s v="0.80-0.90"/>
  </r>
  <r>
    <n v="898"/>
    <x v="11"/>
    <n v="1"/>
    <x v="19"/>
    <s v="False"/>
    <n v="3"/>
    <n v="2"/>
    <n v="0.14000000000000001"/>
    <n v="0.1515"/>
    <n v="0.86"/>
    <n v="0.16420000000000001"/>
    <n v="0"/>
    <n v="83"/>
    <n v="83"/>
    <x v="4"/>
    <x v="1"/>
    <s v="0.10-0.20"/>
    <s v="0.80-0.90"/>
  </r>
  <r>
    <n v="899"/>
    <x v="11"/>
    <n v="1"/>
    <x v="20"/>
    <s v="False"/>
    <n v="3"/>
    <n v="3"/>
    <n v="0.16"/>
    <n v="0.16669999999999999"/>
    <n v="0.8"/>
    <n v="0.16420000000000001"/>
    <n v="4"/>
    <n v="42"/>
    <n v="46"/>
    <x v="4"/>
    <x v="2"/>
    <s v="0.10-0.20"/>
    <s v="0.70-0.80"/>
  </r>
  <r>
    <n v="900"/>
    <x v="11"/>
    <n v="1"/>
    <x v="21"/>
    <s v="False"/>
    <n v="3"/>
    <n v="3"/>
    <n v="0.16"/>
    <n v="0.1515"/>
    <n v="0.8"/>
    <n v="0.19400000000000001"/>
    <n v="0"/>
    <n v="37"/>
    <n v="37"/>
    <x v="4"/>
    <x v="2"/>
    <s v="0.10-0.20"/>
    <s v="0.70-0.80"/>
  </r>
  <r>
    <n v="901"/>
    <x v="12"/>
    <n v="1"/>
    <x v="22"/>
    <s v="False"/>
    <n v="4"/>
    <n v="3"/>
    <n v="0.14000000000000001"/>
    <n v="0.13639999999999999"/>
    <n v="0.86"/>
    <n v="0.19400000000000001"/>
    <n v="0"/>
    <n v="16"/>
    <n v="16"/>
    <x v="5"/>
    <x v="2"/>
    <s v="0.10-0.20"/>
    <s v="0.80-0.90"/>
  </r>
  <r>
    <n v="902"/>
    <x v="12"/>
    <n v="1"/>
    <x v="0"/>
    <s v="False"/>
    <n v="4"/>
    <n v="3"/>
    <n v="0.14000000000000001"/>
    <n v="0.1515"/>
    <n v="0.8"/>
    <n v="0.1343"/>
    <n v="0"/>
    <n v="7"/>
    <n v="7"/>
    <x v="5"/>
    <x v="2"/>
    <s v="0.10-0.20"/>
    <s v="0.70-0.80"/>
  </r>
  <r>
    <n v="903"/>
    <x v="12"/>
    <n v="1"/>
    <x v="1"/>
    <s v="False"/>
    <n v="4"/>
    <n v="3"/>
    <n v="0.14000000000000001"/>
    <n v="0.1515"/>
    <n v="0.8"/>
    <n v="0.1343"/>
    <n v="0"/>
    <n v="3"/>
    <n v="3"/>
    <x v="5"/>
    <x v="2"/>
    <s v="0.10-0.20"/>
    <s v="0.70-0.80"/>
  </r>
  <r>
    <n v="904"/>
    <x v="12"/>
    <n v="1"/>
    <x v="3"/>
    <s v="False"/>
    <n v="4"/>
    <n v="2"/>
    <n v="0.14000000000000001"/>
    <n v="0.13639999999999999"/>
    <n v="0.59"/>
    <n v="0.22389999999999999"/>
    <n v="0"/>
    <n v="1"/>
    <n v="1"/>
    <x v="5"/>
    <x v="1"/>
    <s v="0.20-0.30"/>
    <s v="0.50-0.60"/>
  </r>
  <r>
    <n v="905"/>
    <x v="12"/>
    <n v="1"/>
    <x v="23"/>
    <s v="False"/>
    <n v="4"/>
    <n v="2"/>
    <n v="0.12"/>
    <n v="0.1212"/>
    <n v="0.5"/>
    <n v="0.22389999999999999"/>
    <n v="0"/>
    <n v="6"/>
    <n v="6"/>
    <x v="5"/>
    <x v="1"/>
    <s v="0.20-0.30"/>
    <s v="0.40-0.50"/>
  </r>
  <r>
    <n v="906"/>
    <x v="12"/>
    <n v="1"/>
    <x v="4"/>
    <s v="False"/>
    <n v="4"/>
    <n v="2"/>
    <n v="0.12"/>
    <n v="0.1212"/>
    <n v="0.54"/>
    <n v="0.28360000000000002"/>
    <n v="0"/>
    <n v="26"/>
    <n v="26"/>
    <x v="5"/>
    <x v="1"/>
    <s v="0.20-0.30"/>
    <s v="0.50-0.60"/>
  </r>
  <r>
    <n v="907"/>
    <x v="12"/>
    <n v="1"/>
    <x v="5"/>
    <s v="False"/>
    <n v="4"/>
    <n v="1"/>
    <n v="0.1"/>
    <n v="7.5800000000000006E-2"/>
    <n v="0.5"/>
    <n v="0.41789999999999999"/>
    <n v="0"/>
    <n v="99"/>
    <n v="99"/>
    <x v="5"/>
    <x v="0"/>
    <s v="0.40-0.50"/>
    <s v="0.40-0.50"/>
  </r>
  <r>
    <n v="908"/>
    <x v="12"/>
    <n v="1"/>
    <x v="6"/>
    <s v="False"/>
    <n v="4"/>
    <n v="1"/>
    <n v="0.1"/>
    <n v="7.5800000000000006E-2"/>
    <n v="0.49"/>
    <n v="0.32840000000000003"/>
    <n v="5"/>
    <n v="173"/>
    <n v="178"/>
    <x v="5"/>
    <x v="0"/>
    <s v="0.30-0.40"/>
    <s v="0.40-0.50"/>
  </r>
  <r>
    <n v="909"/>
    <x v="12"/>
    <n v="1"/>
    <x v="7"/>
    <s v="False"/>
    <n v="4"/>
    <n v="1"/>
    <n v="0.12"/>
    <n v="0.1061"/>
    <n v="0.42"/>
    <n v="0.35820000000000002"/>
    <n v="1"/>
    <n v="121"/>
    <n v="122"/>
    <x v="5"/>
    <x v="0"/>
    <s v="0.30-0.40"/>
    <s v="0.40-0.50"/>
  </r>
  <r>
    <n v="910"/>
    <x v="12"/>
    <n v="1"/>
    <x v="8"/>
    <s v="False"/>
    <n v="4"/>
    <n v="1"/>
    <n v="0.12"/>
    <n v="0.1061"/>
    <n v="0.42"/>
    <n v="0.29849999999999999"/>
    <n v="1"/>
    <n v="34"/>
    <n v="35"/>
    <x v="5"/>
    <x v="0"/>
    <s v="0.20-0.30"/>
    <s v="0.40-0.50"/>
  </r>
  <r>
    <n v="911"/>
    <x v="12"/>
    <n v="1"/>
    <x v="9"/>
    <s v="False"/>
    <n v="4"/>
    <n v="1"/>
    <n v="0.14000000000000001"/>
    <n v="0.1212"/>
    <n v="0.39"/>
    <n v="0.35820000000000002"/>
    <n v="1"/>
    <n v="44"/>
    <n v="45"/>
    <x v="5"/>
    <x v="0"/>
    <s v="0.30-0.40"/>
    <s v="0.30-0.40"/>
  </r>
  <r>
    <n v="912"/>
    <x v="12"/>
    <n v="1"/>
    <x v="10"/>
    <s v="False"/>
    <n v="4"/>
    <n v="1"/>
    <n v="0.16"/>
    <n v="0.13639999999999999"/>
    <n v="0.34"/>
    <n v="0.3881"/>
    <n v="4"/>
    <n v="65"/>
    <n v="69"/>
    <x v="5"/>
    <x v="0"/>
    <s v="0.30-0.40"/>
    <s v="0.30-0.40"/>
  </r>
  <r>
    <n v="913"/>
    <x v="12"/>
    <n v="1"/>
    <x v="11"/>
    <s v="False"/>
    <n v="4"/>
    <n v="1"/>
    <n v="0.18"/>
    <n v="0.16669999999999999"/>
    <n v="0.28999999999999998"/>
    <n v="0.29849999999999999"/>
    <n v="3"/>
    <n v="59"/>
    <n v="62"/>
    <x v="5"/>
    <x v="0"/>
    <s v="0.20-0.30"/>
    <s v="0.20-0.30"/>
  </r>
  <r>
    <n v="914"/>
    <x v="12"/>
    <n v="1"/>
    <x v="12"/>
    <s v="False"/>
    <n v="4"/>
    <n v="1"/>
    <n v="0.2"/>
    <n v="0.18179999999999999"/>
    <n v="0.27"/>
    <n v="0.28360000000000002"/>
    <n v="6"/>
    <n v="42"/>
    <n v="48"/>
    <x v="5"/>
    <x v="0"/>
    <s v="0.20-0.30"/>
    <s v="0.20-0.30"/>
  </r>
  <r>
    <n v="915"/>
    <x v="12"/>
    <n v="1"/>
    <x v="13"/>
    <s v="False"/>
    <n v="4"/>
    <n v="1"/>
    <n v="0.2"/>
    <n v="0.19700000000000001"/>
    <n v="0.25"/>
    <n v="0.25369999999999998"/>
    <n v="0"/>
    <n v="50"/>
    <n v="50"/>
    <x v="5"/>
    <x v="0"/>
    <s v="0.20-0.30"/>
    <s v="0.20-0.30"/>
  </r>
  <r>
    <n v="916"/>
    <x v="12"/>
    <n v="1"/>
    <x v="14"/>
    <s v="False"/>
    <n v="4"/>
    <n v="1"/>
    <n v="0.2"/>
    <n v="0.18179999999999999"/>
    <n v="0.27"/>
    <n v="0.29849999999999999"/>
    <n v="4"/>
    <n v="76"/>
    <n v="80"/>
    <x v="5"/>
    <x v="0"/>
    <s v="0.20-0.30"/>
    <s v="0.20-0.30"/>
  </r>
  <r>
    <n v="917"/>
    <x v="12"/>
    <n v="1"/>
    <x v="15"/>
    <s v="False"/>
    <n v="4"/>
    <n v="1"/>
    <n v="0.18"/>
    <n v="0.18179999999999999"/>
    <n v="0.26"/>
    <n v="0.19400000000000001"/>
    <n v="6"/>
    <n v="159"/>
    <n v="165"/>
    <x v="5"/>
    <x v="0"/>
    <s v="0.10-0.20"/>
    <s v="0.20-0.30"/>
  </r>
  <r>
    <n v="918"/>
    <x v="12"/>
    <n v="1"/>
    <x v="16"/>
    <s v="False"/>
    <n v="4"/>
    <n v="1"/>
    <n v="0.16"/>
    <n v="0.18179999999999999"/>
    <n v="0.28000000000000003"/>
    <n v="0.1343"/>
    <n v="3"/>
    <n v="157"/>
    <n v="160"/>
    <x v="5"/>
    <x v="0"/>
    <s v="0.10-0.20"/>
    <s v="0.20-0.30"/>
  </r>
  <r>
    <n v="919"/>
    <x v="12"/>
    <n v="1"/>
    <x v="17"/>
    <s v="False"/>
    <n v="4"/>
    <n v="1"/>
    <n v="0.14000000000000001"/>
    <n v="0.16669999999999999"/>
    <n v="0.28000000000000003"/>
    <n v="0.1045"/>
    <n v="2"/>
    <n v="110"/>
    <n v="112"/>
    <x v="5"/>
    <x v="0"/>
    <s v="0.10-0.20"/>
    <s v="0.20-0.30"/>
  </r>
  <r>
    <n v="920"/>
    <x v="12"/>
    <n v="1"/>
    <x v="18"/>
    <s v="False"/>
    <n v="4"/>
    <n v="1"/>
    <n v="0.14000000000000001"/>
    <n v="0.18179999999999999"/>
    <n v="0.31"/>
    <n v="8.9599999999999999E-2"/>
    <n v="4"/>
    <n v="93"/>
    <n v="97"/>
    <x v="5"/>
    <x v="0"/>
    <s v="0.00 -0.10"/>
    <s v="0.30-0.40"/>
  </r>
  <r>
    <n v="921"/>
    <x v="12"/>
    <n v="1"/>
    <x v="19"/>
    <s v="False"/>
    <n v="4"/>
    <n v="1"/>
    <n v="0.14000000000000001"/>
    <n v="0.21210000000000001"/>
    <n v="0.39"/>
    <n v="0"/>
    <n v="2"/>
    <n v="70"/>
    <n v="72"/>
    <x v="5"/>
    <x v="0"/>
    <s v="0.00 -0.10"/>
    <s v="0.30-0.40"/>
  </r>
  <r>
    <n v="922"/>
    <x v="12"/>
    <n v="1"/>
    <x v="20"/>
    <s v="False"/>
    <n v="4"/>
    <n v="1"/>
    <n v="0.12"/>
    <n v="0.19700000000000001"/>
    <n v="0.39"/>
    <n v="0"/>
    <n v="4"/>
    <n v="47"/>
    <n v="51"/>
    <x v="5"/>
    <x v="0"/>
    <s v="0.00 -0.10"/>
    <s v="0.30-0.40"/>
  </r>
  <r>
    <n v="923"/>
    <x v="12"/>
    <n v="1"/>
    <x v="21"/>
    <s v="False"/>
    <n v="4"/>
    <n v="1"/>
    <n v="0.12"/>
    <n v="0.1515"/>
    <n v="0.42"/>
    <n v="0.1045"/>
    <n v="1"/>
    <n v="33"/>
    <n v="34"/>
    <x v="5"/>
    <x v="0"/>
    <s v="0.10-0.20"/>
    <s v="0.40-0.50"/>
  </r>
  <r>
    <n v="924"/>
    <x v="13"/>
    <n v="1"/>
    <x v="22"/>
    <s v="False"/>
    <n v="5"/>
    <n v="1"/>
    <n v="0.1"/>
    <n v="0.13639999999999999"/>
    <n v="0.49"/>
    <n v="0.1045"/>
    <n v="2"/>
    <n v="12"/>
    <n v="14"/>
    <x v="6"/>
    <x v="0"/>
    <s v="0.10-0.20"/>
    <s v="0.40-0.50"/>
  </r>
  <r>
    <n v="925"/>
    <x v="13"/>
    <n v="1"/>
    <x v="0"/>
    <s v="False"/>
    <n v="5"/>
    <n v="1"/>
    <n v="0.1"/>
    <n v="0.13639999999999999"/>
    <n v="0.54"/>
    <n v="8.9599999999999999E-2"/>
    <n v="1"/>
    <n v="6"/>
    <n v="7"/>
    <x v="6"/>
    <x v="0"/>
    <s v="0.00 -0.10"/>
    <s v="0.50-0.60"/>
  </r>
  <r>
    <n v="926"/>
    <x v="13"/>
    <n v="1"/>
    <x v="1"/>
    <s v="False"/>
    <n v="5"/>
    <n v="1"/>
    <n v="0.1"/>
    <n v="0.13639999999999999"/>
    <n v="0.54"/>
    <n v="8.9599999999999999E-2"/>
    <n v="0"/>
    <n v="3"/>
    <n v="3"/>
    <x v="6"/>
    <x v="0"/>
    <s v="0.00 -0.10"/>
    <s v="0.50-0.60"/>
  </r>
  <r>
    <n v="927"/>
    <x v="13"/>
    <n v="1"/>
    <x v="23"/>
    <s v="False"/>
    <n v="5"/>
    <n v="1"/>
    <n v="0.08"/>
    <n v="0.1212"/>
    <n v="0.63"/>
    <n v="8.9599999999999999E-2"/>
    <n v="0"/>
    <n v="4"/>
    <n v="4"/>
    <x v="6"/>
    <x v="0"/>
    <s v="0.00 -0.10"/>
    <s v="0.60-0.70"/>
  </r>
  <r>
    <n v="928"/>
    <x v="13"/>
    <n v="1"/>
    <x v="4"/>
    <s v="False"/>
    <n v="5"/>
    <n v="1"/>
    <n v="0.1"/>
    <n v="0.18179999999999999"/>
    <n v="0.68"/>
    <n v="0"/>
    <n v="1"/>
    <n v="23"/>
    <n v="24"/>
    <x v="6"/>
    <x v="0"/>
    <s v="0.00 -0.10"/>
    <s v="0.60-0.70"/>
  </r>
  <r>
    <n v="929"/>
    <x v="13"/>
    <n v="1"/>
    <x v="5"/>
    <s v="False"/>
    <n v="5"/>
    <n v="1"/>
    <n v="0.08"/>
    <n v="0.16669999999999999"/>
    <n v="0.73"/>
    <n v="0"/>
    <n v="1"/>
    <n v="73"/>
    <n v="74"/>
    <x v="6"/>
    <x v="0"/>
    <s v="0.00 -0.10"/>
    <s v="0.70-0.80"/>
  </r>
  <r>
    <n v="930"/>
    <x v="13"/>
    <n v="1"/>
    <x v="6"/>
    <s v="False"/>
    <n v="5"/>
    <n v="1"/>
    <n v="0.1"/>
    <n v="0.1212"/>
    <n v="0.74"/>
    <n v="0.16420000000000001"/>
    <n v="4"/>
    <n v="212"/>
    <n v="216"/>
    <x v="6"/>
    <x v="0"/>
    <s v="0.10-0.20"/>
    <s v="0.70-0.80"/>
  </r>
  <r>
    <n v="931"/>
    <x v="13"/>
    <n v="1"/>
    <x v="7"/>
    <s v="False"/>
    <n v="5"/>
    <n v="1"/>
    <n v="0.12"/>
    <n v="0.1212"/>
    <n v="0.74"/>
    <n v="0.22389999999999999"/>
    <n v="8"/>
    <n v="132"/>
    <n v="140"/>
    <x v="6"/>
    <x v="0"/>
    <s v="0.20-0.30"/>
    <s v="0.70-0.80"/>
  </r>
  <r>
    <n v="932"/>
    <x v="13"/>
    <n v="1"/>
    <x v="8"/>
    <s v="False"/>
    <n v="5"/>
    <n v="1"/>
    <n v="0.14000000000000001"/>
    <n v="0.13639999999999999"/>
    <n v="0.69"/>
    <n v="0.19400000000000001"/>
    <n v="5"/>
    <n v="39"/>
    <n v="44"/>
    <x v="6"/>
    <x v="0"/>
    <s v="0.10-0.20"/>
    <s v="0.60-0.70"/>
  </r>
  <r>
    <n v="933"/>
    <x v="13"/>
    <n v="1"/>
    <x v="9"/>
    <s v="False"/>
    <n v="5"/>
    <n v="1"/>
    <n v="0.22"/>
    <n v="0.2273"/>
    <n v="0.47"/>
    <n v="0.1343"/>
    <n v="12"/>
    <n v="52"/>
    <n v="64"/>
    <x v="6"/>
    <x v="0"/>
    <s v="0.10-0.20"/>
    <s v="0.40-0.50"/>
  </r>
  <r>
    <n v="934"/>
    <x v="13"/>
    <n v="1"/>
    <x v="10"/>
    <s v="False"/>
    <n v="5"/>
    <n v="1"/>
    <n v="0.22"/>
    <n v="0.2273"/>
    <n v="0.47"/>
    <n v="0.1343"/>
    <n v="7"/>
    <n v="64"/>
    <n v="71"/>
    <x v="6"/>
    <x v="0"/>
    <s v="0.10-0.20"/>
    <s v="0.40-0.50"/>
  </r>
  <r>
    <n v="935"/>
    <x v="13"/>
    <n v="1"/>
    <x v="11"/>
    <s v="False"/>
    <n v="5"/>
    <n v="1"/>
    <n v="0.24"/>
    <n v="0.2273"/>
    <n v="0.35"/>
    <n v="0.19400000000000001"/>
    <n v="21"/>
    <n v="89"/>
    <n v="110"/>
    <x v="6"/>
    <x v="0"/>
    <s v="0.10-0.20"/>
    <s v="0.30-0.40"/>
  </r>
  <r>
    <n v="936"/>
    <x v="13"/>
    <n v="1"/>
    <x v="12"/>
    <s v="False"/>
    <n v="5"/>
    <n v="1"/>
    <n v="0.3"/>
    <n v="0.28789999999999999"/>
    <n v="0.26"/>
    <n v="0.25369999999999998"/>
    <n v="17"/>
    <n v="67"/>
    <n v="84"/>
    <x v="6"/>
    <x v="0"/>
    <s v="0.20-0.30"/>
    <s v="0.20-0.30"/>
  </r>
  <r>
    <n v="937"/>
    <x v="13"/>
    <n v="1"/>
    <x v="13"/>
    <s v="False"/>
    <n v="5"/>
    <n v="1"/>
    <n v="0.32"/>
    <n v="0.31819999999999998"/>
    <n v="0.21"/>
    <n v="0.16420000000000001"/>
    <n v="12"/>
    <n v="62"/>
    <n v="74"/>
    <x v="6"/>
    <x v="0"/>
    <s v="0.10-0.20"/>
    <s v="0.20-0.30"/>
  </r>
  <r>
    <n v="938"/>
    <x v="13"/>
    <n v="1"/>
    <x v="14"/>
    <s v="False"/>
    <n v="5"/>
    <n v="1"/>
    <n v="0.3"/>
    <n v="0.28789999999999999"/>
    <n v="0.28000000000000003"/>
    <n v="0.19400000000000001"/>
    <n v="14"/>
    <n v="111"/>
    <n v="125"/>
    <x v="6"/>
    <x v="0"/>
    <s v="0.10-0.20"/>
    <s v="0.20-0.30"/>
  </r>
  <r>
    <n v="939"/>
    <x v="13"/>
    <n v="1"/>
    <x v="15"/>
    <s v="False"/>
    <n v="5"/>
    <n v="1"/>
    <n v="0.3"/>
    <n v="0.33329999999999999"/>
    <n v="0.24"/>
    <n v="0"/>
    <n v="18"/>
    <n v="193"/>
    <n v="211"/>
    <x v="6"/>
    <x v="0"/>
    <s v="0.00 -0.10"/>
    <s v="0.20-0.30"/>
  </r>
  <r>
    <n v="940"/>
    <x v="13"/>
    <n v="1"/>
    <x v="16"/>
    <s v="False"/>
    <n v="5"/>
    <n v="1"/>
    <n v="0.28000000000000003"/>
    <n v="0.31819999999999998"/>
    <n v="0.28000000000000003"/>
    <n v="0"/>
    <n v="9"/>
    <n v="165"/>
    <n v="174"/>
    <x v="6"/>
    <x v="0"/>
    <s v="0.00 -0.10"/>
    <s v="0.20-0.30"/>
  </r>
  <r>
    <n v="941"/>
    <x v="13"/>
    <n v="1"/>
    <x v="17"/>
    <s v="False"/>
    <n v="5"/>
    <n v="1"/>
    <n v="0.26"/>
    <n v="0.30299999999999999"/>
    <n v="0.33"/>
    <n v="0"/>
    <n v="7"/>
    <n v="94"/>
    <n v="101"/>
    <x v="6"/>
    <x v="0"/>
    <s v="0.00 -0.10"/>
    <s v="0.30-0.40"/>
  </r>
  <r>
    <n v="942"/>
    <x v="13"/>
    <n v="1"/>
    <x v="18"/>
    <s v="False"/>
    <n v="5"/>
    <n v="1"/>
    <n v="0.22"/>
    <n v="0.2273"/>
    <n v="0.55000000000000004"/>
    <n v="0.1343"/>
    <n v="2"/>
    <n v="61"/>
    <n v="63"/>
    <x v="6"/>
    <x v="0"/>
    <s v="0.10-0.20"/>
    <s v="0.50-0.60"/>
  </r>
  <r>
    <n v="943"/>
    <x v="13"/>
    <n v="1"/>
    <x v="19"/>
    <s v="False"/>
    <n v="5"/>
    <n v="1"/>
    <n v="0.2"/>
    <n v="0.21210000000000001"/>
    <n v="0.59"/>
    <n v="0.1343"/>
    <n v="1"/>
    <n v="46"/>
    <n v="47"/>
    <x v="6"/>
    <x v="0"/>
    <s v="0.10-0.20"/>
    <s v="0.50-0.60"/>
  </r>
  <r>
    <n v="944"/>
    <x v="13"/>
    <n v="1"/>
    <x v="20"/>
    <s v="False"/>
    <n v="5"/>
    <n v="1"/>
    <n v="0.2"/>
    <n v="0.2273"/>
    <n v="0.64"/>
    <n v="8.9599999999999999E-2"/>
    <n v="2"/>
    <n v="41"/>
    <n v="43"/>
    <x v="6"/>
    <x v="0"/>
    <s v="0.00 -0.10"/>
    <s v="0.60-0.70"/>
  </r>
  <r>
    <n v="945"/>
    <x v="13"/>
    <n v="1"/>
    <x v="21"/>
    <s v="False"/>
    <n v="5"/>
    <n v="1"/>
    <n v="0.18"/>
    <n v="0.2424"/>
    <n v="0.69"/>
    <n v="0"/>
    <n v="5"/>
    <n v="48"/>
    <n v="53"/>
    <x v="6"/>
    <x v="0"/>
    <s v="0.00 -0.10"/>
    <s v="0.60-0.70"/>
  </r>
  <r>
    <n v="946"/>
    <x v="14"/>
    <n v="1"/>
    <x v="22"/>
    <s v="False"/>
    <n v="6"/>
    <n v="1"/>
    <n v="0.16"/>
    <n v="0.19700000000000001"/>
    <n v="0.69"/>
    <n v="8.9599999999999999E-2"/>
    <n v="3"/>
    <n v="27"/>
    <n v="30"/>
    <x v="0"/>
    <x v="0"/>
    <s v="0.00 -0.10"/>
    <s v="0.60-0.70"/>
  </r>
  <r>
    <n v="947"/>
    <x v="14"/>
    <n v="1"/>
    <x v="0"/>
    <s v="False"/>
    <n v="6"/>
    <n v="1"/>
    <n v="0.14000000000000001"/>
    <n v="0.21210000000000001"/>
    <n v="0.86"/>
    <n v="0"/>
    <n v="2"/>
    <n v="22"/>
    <n v="24"/>
    <x v="0"/>
    <x v="0"/>
    <s v="0.00 -0.10"/>
    <s v="0.80-0.90"/>
  </r>
  <r>
    <n v="948"/>
    <x v="14"/>
    <n v="1"/>
    <x v="1"/>
    <s v="False"/>
    <n v="6"/>
    <n v="1"/>
    <n v="0.14000000000000001"/>
    <n v="0.21210000000000001"/>
    <n v="0.8"/>
    <n v="0"/>
    <n v="2"/>
    <n v="13"/>
    <n v="15"/>
    <x v="0"/>
    <x v="0"/>
    <s v="0.00 -0.10"/>
    <s v="0.70-0.80"/>
  </r>
  <r>
    <n v="949"/>
    <x v="14"/>
    <n v="1"/>
    <x v="2"/>
    <s v="False"/>
    <n v="6"/>
    <n v="1"/>
    <n v="0.12"/>
    <n v="0.19700000000000001"/>
    <n v="0.8"/>
    <n v="0"/>
    <n v="3"/>
    <n v="7"/>
    <n v="10"/>
    <x v="0"/>
    <x v="0"/>
    <s v="0.00 -0.10"/>
    <s v="0.70-0.80"/>
  </r>
  <r>
    <n v="950"/>
    <x v="14"/>
    <n v="1"/>
    <x v="3"/>
    <s v="False"/>
    <n v="6"/>
    <n v="1"/>
    <n v="0.12"/>
    <n v="0.16669999999999999"/>
    <n v="0.74"/>
    <n v="8.9599999999999999E-2"/>
    <n v="0"/>
    <n v="4"/>
    <n v="4"/>
    <x v="0"/>
    <x v="0"/>
    <s v="0.00 -0.10"/>
    <s v="0.70-0.80"/>
  </r>
  <r>
    <n v="951"/>
    <x v="14"/>
    <n v="1"/>
    <x v="23"/>
    <s v="False"/>
    <n v="6"/>
    <n v="1"/>
    <n v="0.12"/>
    <n v="0.16669999999999999"/>
    <n v="0.74"/>
    <n v="8.9599999999999999E-2"/>
    <n v="0"/>
    <n v="1"/>
    <n v="1"/>
    <x v="0"/>
    <x v="0"/>
    <s v="0.00 -0.10"/>
    <s v="0.70-0.80"/>
  </r>
  <r>
    <n v="952"/>
    <x v="14"/>
    <n v="1"/>
    <x v="4"/>
    <s v="False"/>
    <n v="6"/>
    <n v="1"/>
    <n v="0.12"/>
    <n v="0.13639999999999999"/>
    <n v="0.93"/>
    <n v="0.19400000000000001"/>
    <n v="1"/>
    <n v="1"/>
    <n v="2"/>
    <x v="0"/>
    <x v="0"/>
    <s v="0.10-0.20"/>
    <s v="0.90-1.00"/>
  </r>
  <r>
    <n v="953"/>
    <x v="14"/>
    <n v="1"/>
    <x v="5"/>
    <s v="False"/>
    <n v="6"/>
    <n v="1"/>
    <n v="0.12"/>
    <n v="0.1515"/>
    <n v="0.8"/>
    <n v="0.1045"/>
    <n v="2"/>
    <n v="9"/>
    <n v="11"/>
    <x v="0"/>
    <x v="0"/>
    <s v="0.10-0.20"/>
    <s v="0.70-0.80"/>
  </r>
  <r>
    <n v="954"/>
    <x v="14"/>
    <n v="1"/>
    <x v="6"/>
    <s v="False"/>
    <n v="6"/>
    <n v="1"/>
    <n v="0.14000000000000001"/>
    <n v="0.1515"/>
    <n v="0.86"/>
    <n v="0.1343"/>
    <n v="2"/>
    <n v="28"/>
    <n v="30"/>
    <x v="0"/>
    <x v="0"/>
    <s v="0.10-0.20"/>
    <s v="0.80-0.90"/>
  </r>
  <r>
    <n v="955"/>
    <x v="14"/>
    <n v="1"/>
    <x v="7"/>
    <s v="False"/>
    <n v="6"/>
    <n v="1"/>
    <n v="0.16"/>
    <n v="0.18179999999999999"/>
    <n v="0.64"/>
    <n v="0.1343"/>
    <n v="5"/>
    <n v="38"/>
    <n v="43"/>
    <x v="0"/>
    <x v="0"/>
    <s v="0.10-0.20"/>
    <s v="0.60-0.70"/>
  </r>
  <r>
    <n v="956"/>
    <x v="14"/>
    <n v="1"/>
    <x v="8"/>
    <s v="False"/>
    <n v="6"/>
    <n v="1"/>
    <n v="0.22"/>
    <n v="0.21210000000000001"/>
    <n v="0.41"/>
    <n v="0.25369999999999998"/>
    <n v="13"/>
    <n v="71"/>
    <n v="84"/>
    <x v="0"/>
    <x v="0"/>
    <s v="0.20-0.30"/>
    <s v="0.40-0.50"/>
  </r>
  <r>
    <n v="957"/>
    <x v="14"/>
    <n v="1"/>
    <x v="9"/>
    <s v="False"/>
    <n v="6"/>
    <n v="1"/>
    <n v="0.3"/>
    <n v="0.2727"/>
    <n v="0.28000000000000003"/>
    <n v="0.32840000000000003"/>
    <n v="30"/>
    <n v="84"/>
    <n v="114"/>
    <x v="0"/>
    <x v="0"/>
    <s v="0.30-0.40"/>
    <s v="0.20-0.30"/>
  </r>
  <r>
    <n v="958"/>
    <x v="14"/>
    <n v="1"/>
    <x v="10"/>
    <s v="False"/>
    <n v="6"/>
    <n v="1"/>
    <n v="0.3"/>
    <n v="0.2727"/>
    <n v="0.39"/>
    <n v="0.4627"/>
    <n v="27"/>
    <n v="93"/>
    <n v="120"/>
    <x v="0"/>
    <x v="0"/>
    <s v="0.40-0.50"/>
    <s v="0.30-0.40"/>
  </r>
  <r>
    <n v="959"/>
    <x v="14"/>
    <n v="1"/>
    <x v="11"/>
    <s v="False"/>
    <n v="6"/>
    <n v="1"/>
    <n v="0.3"/>
    <n v="0.2727"/>
    <n v="0.39"/>
    <n v="0.41789999999999999"/>
    <n v="32"/>
    <n v="103"/>
    <n v="135"/>
    <x v="0"/>
    <x v="0"/>
    <s v="0.40-0.50"/>
    <s v="0.30-0.40"/>
  </r>
  <r>
    <n v="960"/>
    <x v="14"/>
    <n v="1"/>
    <x v="12"/>
    <s v="False"/>
    <n v="6"/>
    <n v="1"/>
    <n v="0.34"/>
    <n v="0.31819999999999998"/>
    <n v="0.31"/>
    <n v="0.28360000000000002"/>
    <n v="30"/>
    <n v="90"/>
    <n v="120"/>
    <x v="0"/>
    <x v="0"/>
    <s v="0.20-0.30"/>
    <s v="0.30-0.40"/>
  </r>
  <r>
    <n v="961"/>
    <x v="14"/>
    <n v="1"/>
    <x v="13"/>
    <s v="False"/>
    <n v="6"/>
    <n v="1"/>
    <n v="0.34"/>
    <n v="0.30299999999999999"/>
    <n v="0.28999999999999998"/>
    <n v="0.41789999999999999"/>
    <n v="47"/>
    <n v="127"/>
    <n v="174"/>
    <x v="0"/>
    <x v="0"/>
    <s v="0.40-0.50"/>
    <s v="0.20-0.30"/>
  </r>
  <r>
    <n v="962"/>
    <x v="14"/>
    <n v="1"/>
    <x v="14"/>
    <s v="False"/>
    <n v="6"/>
    <n v="1"/>
    <n v="0.34"/>
    <n v="0.30299999999999999"/>
    <n v="0.28999999999999998"/>
    <n v="0.41789999999999999"/>
    <n v="42"/>
    <n v="103"/>
    <n v="145"/>
    <x v="0"/>
    <x v="0"/>
    <s v="0.40-0.50"/>
    <s v="0.20-0.30"/>
  </r>
  <r>
    <n v="963"/>
    <x v="14"/>
    <n v="1"/>
    <x v="15"/>
    <s v="False"/>
    <n v="6"/>
    <n v="1"/>
    <n v="0.32"/>
    <n v="0.28789999999999999"/>
    <n v="0.31"/>
    <n v="0.52239999999999998"/>
    <n v="24"/>
    <n v="113"/>
    <n v="137"/>
    <x v="0"/>
    <x v="0"/>
    <s v="0.50-0.60"/>
    <s v="0.30-0.40"/>
  </r>
  <r>
    <n v="964"/>
    <x v="14"/>
    <n v="1"/>
    <x v="16"/>
    <s v="False"/>
    <n v="6"/>
    <n v="1"/>
    <n v="0.28000000000000003"/>
    <n v="0.2576"/>
    <n v="0.38"/>
    <n v="0.32840000000000003"/>
    <n v="4"/>
    <n v="60"/>
    <n v="64"/>
    <x v="0"/>
    <x v="0"/>
    <s v="0.30-0.40"/>
    <s v="0.30-0.40"/>
  </r>
  <r>
    <n v="965"/>
    <x v="14"/>
    <n v="1"/>
    <x v="17"/>
    <s v="False"/>
    <n v="6"/>
    <n v="1"/>
    <n v="0.28000000000000003"/>
    <n v="0.2727"/>
    <n v="0.38"/>
    <n v="0.16420000000000001"/>
    <n v="2"/>
    <n v="39"/>
    <n v="41"/>
    <x v="0"/>
    <x v="0"/>
    <s v="0.10-0.20"/>
    <s v="0.30-0.40"/>
  </r>
  <r>
    <n v="966"/>
    <x v="14"/>
    <n v="1"/>
    <x v="18"/>
    <s v="False"/>
    <n v="6"/>
    <n v="1"/>
    <n v="0.26"/>
    <n v="0.2576"/>
    <n v="0.41"/>
    <n v="0.22389999999999999"/>
    <n v="1"/>
    <n v="39"/>
    <n v="40"/>
    <x v="0"/>
    <x v="0"/>
    <s v="0.20-0.30"/>
    <s v="0.40-0.50"/>
  </r>
  <r>
    <n v="967"/>
    <x v="14"/>
    <n v="1"/>
    <x v="19"/>
    <s v="False"/>
    <n v="6"/>
    <n v="1"/>
    <n v="0.26"/>
    <n v="0.30299999999999999"/>
    <n v="0.41"/>
    <n v="0"/>
    <n v="9"/>
    <n v="42"/>
    <n v="51"/>
    <x v="0"/>
    <x v="0"/>
    <s v="0.00 -0.10"/>
    <s v="0.40-0.50"/>
  </r>
  <r>
    <n v="968"/>
    <x v="14"/>
    <n v="1"/>
    <x v="20"/>
    <s v="False"/>
    <n v="6"/>
    <n v="1"/>
    <n v="0.24"/>
    <n v="0.2576"/>
    <n v="0.44"/>
    <n v="8.9599999999999999E-2"/>
    <n v="6"/>
    <n v="39"/>
    <n v="45"/>
    <x v="0"/>
    <x v="0"/>
    <s v="0.00 -0.10"/>
    <s v="0.40-0.50"/>
  </r>
  <r>
    <n v="969"/>
    <x v="14"/>
    <n v="1"/>
    <x v="21"/>
    <s v="False"/>
    <n v="6"/>
    <n v="1"/>
    <n v="0.22"/>
    <n v="0.2273"/>
    <n v="0.51"/>
    <n v="0.1343"/>
    <n v="1"/>
    <n v="31"/>
    <n v="32"/>
    <x v="0"/>
    <x v="0"/>
    <s v="0.10-0.20"/>
    <s v="0.50-0.60"/>
  </r>
  <r>
    <n v="970"/>
    <x v="15"/>
    <n v="1"/>
    <x v="22"/>
    <s v="False"/>
    <n v="0"/>
    <n v="1"/>
    <n v="0.2"/>
    <n v="0.2273"/>
    <n v="0.64"/>
    <n v="0.1045"/>
    <n v="5"/>
    <n v="34"/>
    <n v="39"/>
    <x v="1"/>
    <x v="0"/>
    <s v="0.10-0.20"/>
    <s v="0.60-0.70"/>
  </r>
  <r>
    <n v="971"/>
    <x v="15"/>
    <n v="1"/>
    <x v="0"/>
    <s v="False"/>
    <n v="0"/>
    <n v="1"/>
    <n v="0.2"/>
    <n v="0.2273"/>
    <n v="0.59"/>
    <n v="8.9599999999999999E-2"/>
    <n v="1"/>
    <n v="23"/>
    <n v="24"/>
    <x v="1"/>
    <x v="0"/>
    <s v="0.00 -0.10"/>
    <s v="0.50-0.60"/>
  </r>
  <r>
    <n v="972"/>
    <x v="15"/>
    <n v="1"/>
    <x v="1"/>
    <s v="False"/>
    <n v="0"/>
    <n v="2"/>
    <n v="0.2"/>
    <n v="0.2273"/>
    <n v="0.75"/>
    <n v="8.9599999999999999E-2"/>
    <n v="1"/>
    <n v="19"/>
    <n v="20"/>
    <x v="1"/>
    <x v="1"/>
    <s v="0.00 -0.10"/>
    <s v="0.70-0.80"/>
  </r>
  <r>
    <n v="973"/>
    <x v="15"/>
    <n v="1"/>
    <x v="2"/>
    <s v="False"/>
    <n v="0"/>
    <n v="2"/>
    <n v="0.2"/>
    <n v="0.2273"/>
    <n v="0.69"/>
    <n v="0.1045"/>
    <n v="4"/>
    <n v="8"/>
    <n v="12"/>
    <x v="1"/>
    <x v="1"/>
    <s v="0.10-0.20"/>
    <s v="0.60-0.70"/>
  </r>
  <r>
    <n v="974"/>
    <x v="15"/>
    <n v="1"/>
    <x v="3"/>
    <s v="False"/>
    <n v="0"/>
    <n v="2"/>
    <n v="0.2"/>
    <n v="0.21210000000000001"/>
    <n v="0.69"/>
    <n v="0.16420000000000001"/>
    <n v="0"/>
    <n v="2"/>
    <n v="2"/>
    <x v="1"/>
    <x v="1"/>
    <s v="0.10-0.20"/>
    <s v="0.60-0.70"/>
  </r>
  <r>
    <n v="975"/>
    <x v="15"/>
    <n v="1"/>
    <x v="4"/>
    <s v="False"/>
    <n v="0"/>
    <n v="2"/>
    <n v="0.2"/>
    <n v="0.21210000000000001"/>
    <n v="0.69"/>
    <n v="0.1343"/>
    <n v="2"/>
    <n v="3"/>
    <n v="5"/>
    <x v="1"/>
    <x v="1"/>
    <s v="0.10-0.20"/>
    <s v="0.60-0.70"/>
  </r>
  <r>
    <n v="976"/>
    <x v="15"/>
    <n v="1"/>
    <x v="5"/>
    <s v="False"/>
    <n v="0"/>
    <n v="2"/>
    <n v="0.22"/>
    <n v="0.2727"/>
    <n v="0.55000000000000004"/>
    <n v="0"/>
    <n v="0"/>
    <n v="3"/>
    <n v="3"/>
    <x v="1"/>
    <x v="1"/>
    <s v="0.00 -0.10"/>
    <s v="0.50-0.60"/>
  </r>
  <r>
    <n v="977"/>
    <x v="15"/>
    <n v="1"/>
    <x v="6"/>
    <s v="False"/>
    <n v="0"/>
    <n v="2"/>
    <n v="0.22"/>
    <n v="0.2273"/>
    <n v="0.64"/>
    <n v="0.19400000000000001"/>
    <n v="1"/>
    <n v="11"/>
    <n v="12"/>
    <x v="1"/>
    <x v="1"/>
    <s v="0.10-0.20"/>
    <s v="0.60-0.70"/>
  </r>
  <r>
    <n v="978"/>
    <x v="15"/>
    <n v="1"/>
    <x v="7"/>
    <s v="False"/>
    <n v="0"/>
    <n v="2"/>
    <n v="0.24"/>
    <n v="0.2273"/>
    <n v="0.6"/>
    <n v="0.22389999999999999"/>
    <n v="12"/>
    <n v="35"/>
    <n v="47"/>
    <x v="1"/>
    <x v="1"/>
    <s v="0.20-0.30"/>
    <s v="0.50-0.60"/>
  </r>
  <r>
    <n v="979"/>
    <x v="15"/>
    <n v="1"/>
    <x v="8"/>
    <s v="False"/>
    <n v="0"/>
    <n v="1"/>
    <n v="0.3"/>
    <n v="0.2727"/>
    <n v="0.45"/>
    <n v="0.32840000000000003"/>
    <n v="19"/>
    <n v="86"/>
    <n v="105"/>
    <x v="1"/>
    <x v="0"/>
    <s v="0.30-0.40"/>
    <s v="0.40-0.50"/>
  </r>
  <r>
    <n v="980"/>
    <x v="15"/>
    <n v="1"/>
    <x v="9"/>
    <s v="False"/>
    <n v="0"/>
    <n v="1"/>
    <n v="0.32"/>
    <n v="0.28789999999999999"/>
    <n v="0.39"/>
    <n v="0.44779999999999998"/>
    <n v="26"/>
    <n v="86"/>
    <n v="112"/>
    <x v="1"/>
    <x v="0"/>
    <s v="0.40-0.50"/>
    <s v="0.30-0.40"/>
  </r>
  <r>
    <n v="981"/>
    <x v="15"/>
    <n v="1"/>
    <x v="10"/>
    <s v="False"/>
    <n v="0"/>
    <n v="1"/>
    <n v="0.36"/>
    <n v="0.31819999999999998"/>
    <n v="0.32"/>
    <n v="0.4627"/>
    <n v="58"/>
    <n v="94"/>
    <n v="152"/>
    <x v="1"/>
    <x v="0"/>
    <s v="0.40-0.50"/>
    <s v="0.30-0.40"/>
  </r>
  <r>
    <n v="982"/>
    <x v="15"/>
    <n v="1"/>
    <x v="11"/>
    <s v="False"/>
    <n v="0"/>
    <n v="1"/>
    <n v="0.38"/>
    <n v="0.39389999999999997"/>
    <n v="0.28999999999999998"/>
    <n v="0.35820000000000002"/>
    <n v="62"/>
    <n v="92"/>
    <n v="154"/>
    <x v="1"/>
    <x v="0"/>
    <s v="0.30-0.40"/>
    <s v="0.20-0.30"/>
  </r>
  <r>
    <n v="983"/>
    <x v="15"/>
    <n v="1"/>
    <x v="12"/>
    <s v="False"/>
    <n v="0"/>
    <n v="2"/>
    <n v="0.4"/>
    <n v="0.40910000000000002"/>
    <n v="0.3"/>
    <n v="0.41789999999999999"/>
    <n v="51"/>
    <n v="110"/>
    <n v="161"/>
    <x v="1"/>
    <x v="1"/>
    <s v="0.40-0.50"/>
    <s v="0.20-0.30"/>
  </r>
  <r>
    <n v="984"/>
    <x v="15"/>
    <n v="1"/>
    <x v="13"/>
    <s v="False"/>
    <n v="0"/>
    <n v="2"/>
    <n v="0.4"/>
    <n v="0.40910000000000002"/>
    <n v="0.3"/>
    <n v="0.29849999999999999"/>
    <n v="40"/>
    <n v="122"/>
    <n v="162"/>
    <x v="1"/>
    <x v="1"/>
    <s v="0.20-0.30"/>
    <s v="0.20-0.30"/>
  </r>
  <r>
    <n v="985"/>
    <x v="15"/>
    <n v="1"/>
    <x v="14"/>
    <s v="False"/>
    <n v="0"/>
    <n v="2"/>
    <n v="0.42"/>
    <n v="0.42420000000000002"/>
    <n v="0.28000000000000003"/>
    <n v="0.32840000000000003"/>
    <n v="28"/>
    <n v="106"/>
    <n v="134"/>
    <x v="1"/>
    <x v="1"/>
    <s v="0.30-0.40"/>
    <s v="0.20-0.30"/>
  </r>
  <r>
    <n v="986"/>
    <x v="15"/>
    <n v="1"/>
    <x v="15"/>
    <s v="False"/>
    <n v="0"/>
    <n v="1"/>
    <n v="0.42"/>
    <n v="0.42420000000000002"/>
    <n v="0.28000000000000003"/>
    <n v="0.32840000000000003"/>
    <n v="30"/>
    <n v="95"/>
    <n v="125"/>
    <x v="1"/>
    <x v="0"/>
    <s v="0.30-0.40"/>
    <s v="0.20-0.30"/>
  </r>
  <r>
    <n v="987"/>
    <x v="15"/>
    <n v="1"/>
    <x v="16"/>
    <s v="False"/>
    <n v="0"/>
    <n v="1"/>
    <n v="0.4"/>
    <n v="0.40910000000000002"/>
    <n v="0.32"/>
    <n v="0.29849999999999999"/>
    <n v="17"/>
    <n v="78"/>
    <n v="95"/>
    <x v="1"/>
    <x v="0"/>
    <s v="0.20-0.30"/>
    <s v="0.30-0.40"/>
  </r>
  <r>
    <n v="988"/>
    <x v="15"/>
    <n v="1"/>
    <x v="17"/>
    <s v="False"/>
    <n v="0"/>
    <n v="1"/>
    <n v="0.4"/>
    <n v="0.40910000000000002"/>
    <n v="0.35"/>
    <n v="0.28360000000000002"/>
    <n v="11"/>
    <n v="50"/>
    <n v="61"/>
    <x v="1"/>
    <x v="0"/>
    <s v="0.20-0.30"/>
    <s v="0.30-0.40"/>
  </r>
  <r>
    <n v="989"/>
    <x v="15"/>
    <n v="1"/>
    <x v="18"/>
    <s v="False"/>
    <n v="0"/>
    <n v="1"/>
    <n v="0.4"/>
    <n v="0.40910000000000002"/>
    <n v="0.35"/>
    <n v="0.32840000000000003"/>
    <n v="15"/>
    <n v="32"/>
    <n v="47"/>
    <x v="1"/>
    <x v="0"/>
    <s v="0.30-0.40"/>
    <s v="0.30-0.40"/>
  </r>
  <r>
    <n v="990"/>
    <x v="15"/>
    <n v="1"/>
    <x v="19"/>
    <s v="False"/>
    <n v="0"/>
    <n v="1"/>
    <n v="0.4"/>
    <n v="0.40910000000000002"/>
    <n v="0.35"/>
    <n v="0.35820000000000002"/>
    <n v="6"/>
    <n v="45"/>
    <n v="51"/>
    <x v="1"/>
    <x v="0"/>
    <s v="0.30-0.40"/>
    <s v="0.30-0.40"/>
  </r>
  <r>
    <n v="991"/>
    <x v="15"/>
    <n v="1"/>
    <x v="20"/>
    <s v="False"/>
    <n v="0"/>
    <n v="1"/>
    <n v="0.4"/>
    <n v="0.40910000000000002"/>
    <n v="0.35"/>
    <n v="0.29849999999999999"/>
    <n v="5"/>
    <n v="31"/>
    <n v="36"/>
    <x v="1"/>
    <x v="0"/>
    <s v="0.20-0.30"/>
    <s v="0.30-0.40"/>
  </r>
  <r>
    <n v="992"/>
    <x v="15"/>
    <n v="1"/>
    <x v="21"/>
    <s v="False"/>
    <n v="0"/>
    <n v="1"/>
    <n v="0.4"/>
    <n v="0.40910000000000002"/>
    <n v="0.35"/>
    <n v="0.35820000000000002"/>
    <n v="3"/>
    <n v="27"/>
    <n v="30"/>
    <x v="1"/>
    <x v="0"/>
    <s v="0.30-0.40"/>
    <s v="0.30-0.40"/>
  </r>
  <r>
    <n v="993"/>
    <x v="16"/>
    <n v="1"/>
    <x v="22"/>
    <s v="False"/>
    <n v="1"/>
    <n v="1"/>
    <n v="0.38"/>
    <n v="0.39389999999999997"/>
    <n v="0.37"/>
    <n v="0.35820000000000002"/>
    <n v="3"/>
    <n v="8"/>
    <n v="11"/>
    <x v="2"/>
    <x v="0"/>
    <s v="0.30-0.40"/>
    <s v="0.30-0.40"/>
  </r>
  <r>
    <n v="994"/>
    <x v="16"/>
    <n v="1"/>
    <x v="0"/>
    <s v="False"/>
    <n v="1"/>
    <n v="1"/>
    <n v="0.38"/>
    <n v="0.39389999999999997"/>
    <n v="0.37"/>
    <n v="0.35820000000000002"/>
    <n v="1"/>
    <n v="6"/>
    <n v="7"/>
    <x v="2"/>
    <x v="0"/>
    <s v="0.30-0.40"/>
    <s v="0.30-0.40"/>
  </r>
  <r>
    <n v="995"/>
    <x v="16"/>
    <n v="1"/>
    <x v="1"/>
    <s v="False"/>
    <n v="1"/>
    <n v="1"/>
    <n v="0.36"/>
    <n v="0.33329999999999999"/>
    <n v="0.4"/>
    <n v="0.29849999999999999"/>
    <n v="0"/>
    <n v="2"/>
    <n v="2"/>
    <x v="2"/>
    <x v="0"/>
    <s v="0.20-0.30"/>
    <s v="0.30-0.40"/>
  </r>
  <r>
    <n v="996"/>
    <x v="16"/>
    <n v="1"/>
    <x v="2"/>
    <s v="False"/>
    <n v="1"/>
    <n v="1"/>
    <n v="0.34"/>
    <n v="0.31819999999999998"/>
    <n v="0.46"/>
    <n v="0.22389999999999999"/>
    <n v="1"/>
    <n v="1"/>
    <n v="2"/>
    <x v="2"/>
    <x v="0"/>
    <s v="0.20-0.30"/>
    <s v="0.40-0.50"/>
  </r>
  <r>
    <n v="997"/>
    <x v="16"/>
    <n v="1"/>
    <x v="3"/>
    <s v="False"/>
    <n v="1"/>
    <n v="1"/>
    <n v="0.32"/>
    <n v="0.30299999999999999"/>
    <n v="0.53"/>
    <n v="0.28360000000000002"/>
    <n v="0"/>
    <n v="2"/>
    <n v="2"/>
    <x v="2"/>
    <x v="0"/>
    <s v="0.20-0.30"/>
    <s v="0.50-0.60"/>
  </r>
  <r>
    <n v="998"/>
    <x v="16"/>
    <n v="1"/>
    <x v="23"/>
    <s v="False"/>
    <n v="1"/>
    <n v="1"/>
    <n v="0.32"/>
    <n v="0.30299999999999999"/>
    <n v="0.53"/>
    <n v="0.28360000000000002"/>
    <n v="0"/>
    <n v="3"/>
    <n v="3"/>
    <x v="2"/>
    <x v="0"/>
    <s v="0.20-0.30"/>
    <s v="0.50-0.60"/>
  </r>
  <r>
    <n v="999"/>
    <x v="16"/>
    <n v="1"/>
    <x v="4"/>
    <s v="False"/>
    <n v="1"/>
    <n v="1"/>
    <n v="0.34"/>
    <n v="0.30299999999999999"/>
    <n v="0.46"/>
    <n v="0.29849999999999999"/>
    <n v="1"/>
    <n v="25"/>
    <n v="26"/>
    <x v="2"/>
    <x v="0"/>
    <s v="0.20-0.30"/>
    <s v="0.40-0.50"/>
  </r>
  <r>
    <n v="1000"/>
    <x v="16"/>
    <n v="1"/>
    <x v="5"/>
    <s v="False"/>
    <n v="1"/>
    <n v="1"/>
    <n v="0.34"/>
    <n v="0.30299999999999999"/>
    <n v="0.46"/>
    <n v="0.29849999999999999"/>
    <n v="2"/>
    <n v="96"/>
    <n v="98"/>
    <x v="2"/>
    <x v="0"/>
    <s v="0.20-0.30"/>
    <s v="0.40-0.50"/>
  </r>
  <r>
    <n v="611"/>
    <x v="17"/>
    <n v="1"/>
    <x v="14"/>
    <s v="False"/>
    <n v="5"/>
    <n v="1"/>
    <n v="0.22"/>
    <n v="0.2727"/>
    <n v="0.8"/>
    <n v="0"/>
    <n v="10"/>
    <n v="70"/>
    <n v="80"/>
    <x v="6"/>
    <x v="0"/>
    <s v="0.00 -0.10"/>
    <s v="0.70-0.80"/>
  </r>
  <r>
    <n v="612"/>
    <x v="17"/>
    <n v="1"/>
    <x v="15"/>
    <s v="False"/>
    <n v="5"/>
    <n v="1"/>
    <n v="0.24"/>
    <n v="0.2424"/>
    <n v="0.75"/>
    <n v="0.1343"/>
    <n v="2"/>
    <n v="147"/>
    <n v="149"/>
    <x v="6"/>
    <x v="0"/>
    <s v="0.10-0.20"/>
    <s v="0.70-0.80"/>
  </r>
  <r>
    <n v="613"/>
    <x v="17"/>
    <n v="1"/>
    <x v="16"/>
    <s v="False"/>
    <n v="5"/>
    <n v="1"/>
    <n v="0.24"/>
    <n v="0.2273"/>
    <n v="0.75"/>
    <n v="0.19400000000000001"/>
    <n v="2"/>
    <n v="107"/>
    <n v="109"/>
    <x v="6"/>
    <x v="0"/>
    <s v="0.10-0.20"/>
    <s v="0.70-0.80"/>
  </r>
  <r>
    <n v="614"/>
    <x v="17"/>
    <n v="1"/>
    <x v="17"/>
    <s v="False"/>
    <n v="5"/>
    <n v="2"/>
    <n v="0.24"/>
    <n v="0.2424"/>
    <n v="0.75"/>
    <n v="0.1343"/>
    <n v="5"/>
    <n v="84"/>
    <n v="89"/>
    <x v="6"/>
    <x v="1"/>
    <s v="0.10-0.20"/>
    <s v="0.70-0.80"/>
  </r>
  <r>
    <n v="615"/>
    <x v="17"/>
    <n v="1"/>
    <x v="18"/>
    <s v="False"/>
    <n v="5"/>
    <n v="2"/>
    <n v="0.24"/>
    <n v="0.2273"/>
    <n v="0.7"/>
    <n v="0.19400000000000001"/>
    <n v="1"/>
    <n v="61"/>
    <n v="62"/>
    <x v="6"/>
    <x v="1"/>
    <s v="0.10-0.20"/>
    <s v="0.60-0.70"/>
  </r>
  <r>
    <n v="616"/>
    <x v="17"/>
    <n v="1"/>
    <x v="19"/>
    <s v="False"/>
    <n v="5"/>
    <n v="2"/>
    <n v="0.22"/>
    <n v="0.2273"/>
    <n v="0.75"/>
    <n v="0.1343"/>
    <n v="1"/>
    <n v="57"/>
    <n v="58"/>
    <x v="6"/>
    <x v="1"/>
    <s v="0.10-0.20"/>
    <s v="0.70-0.80"/>
  </r>
  <r>
    <n v="617"/>
    <x v="17"/>
    <n v="1"/>
    <x v="20"/>
    <s v="False"/>
    <n v="5"/>
    <n v="1"/>
    <n v="0.24"/>
    <n v="0.21210000000000001"/>
    <n v="0.65"/>
    <n v="0.35820000000000002"/>
    <n v="0"/>
    <n v="26"/>
    <n v="26"/>
    <x v="6"/>
    <x v="0"/>
    <s v="0.30-0.40"/>
    <s v="0.60-0.70"/>
  </r>
  <r>
    <n v="618"/>
    <x v="17"/>
    <n v="1"/>
    <x v="21"/>
    <s v="False"/>
    <n v="5"/>
    <n v="1"/>
    <n v="0.24"/>
    <n v="0.2273"/>
    <n v="0.6"/>
    <n v="0.22389999999999999"/>
    <n v="1"/>
    <n v="22"/>
    <n v="23"/>
    <x v="6"/>
    <x v="0"/>
    <s v="0.20-0.30"/>
    <s v="0.50-0.60"/>
  </r>
  <r>
    <n v="619"/>
    <x v="0"/>
    <n v="1"/>
    <x v="22"/>
    <s v="False"/>
    <n v="6"/>
    <n v="1"/>
    <n v="0.22"/>
    <n v="0.19700000000000001"/>
    <n v="0.64"/>
    <n v="0.35820000000000002"/>
    <n v="2"/>
    <n v="26"/>
    <n v="28"/>
    <x v="0"/>
    <x v="0"/>
    <s v="0.30-0.40"/>
    <s v="0.60-0.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0E8BCF-16C5-4EDD-899F-B1635A34E21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B3:F7" firstHeaderRow="1" firstDataRow="2" firstDataCol="2"/>
  <pivotFields count="20">
    <pivotField compact="0" outline="0" showAll="0"/>
    <pivotField compact="0" numFmtId="14" outline="0" showAll="0">
      <items count="19">
        <item x="17"/>
        <item x="0"/>
        <item x="1"/>
        <item x="2"/>
        <item x="3"/>
        <item x="4"/>
        <item x="5"/>
        <item x="6"/>
        <item x="7"/>
        <item x="8"/>
        <item x="9"/>
        <item x="10"/>
        <item x="11"/>
        <item x="12"/>
        <item x="13"/>
        <item x="14"/>
        <item x="15"/>
        <item x="16"/>
        <item t="default"/>
      </items>
    </pivotField>
    <pivotField compact="0" outline="0" showAll="0"/>
    <pivotField compact="0" outline="0" showAll="0"/>
    <pivotField compact="0" outline="0" showAll="0"/>
    <pivotField compact="0" outline="0" showAll="0"/>
    <pivotField compact="0" outline="0" showAll="0"/>
    <pivotField dataField="1" compact="0" numFmtId="2" outline="0" showAll="0"/>
    <pivotField compact="0" numFmtId="2" outline="0" showAll="0"/>
    <pivotField compact="0" numFmtId="2" outline="0" showAll="0"/>
    <pivotField compact="0" numFmtId="2" outline="0" showAll="0"/>
    <pivotField compact="0" outline="0" showAll="0"/>
    <pivotField compact="0" outline="0" showAll="0"/>
    <pivotField compact="0" outline="0" showAll="0"/>
    <pivotField compact="0" outline="0" showAll="0"/>
    <pivotField axis="axisRow" compact="0" outline="0" showAll="0">
      <items count="4">
        <item sd="0" x="0"/>
        <item sd="0" x="1"/>
        <item sd="0" x="2"/>
        <item t="default"/>
      </items>
    </pivotField>
    <pivotField compact="0" outline="0" showAll="0"/>
    <pivotField compact="0" outline="0" showAll="0"/>
    <pivotField axis="axisRow"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x="1"/>
        <item x="2"/>
        <item sd="0" x="3"/>
        <item sd="0" x="4"/>
        <item sd="0" x="5"/>
        <item sd="0" x="6"/>
        <item sd="0" x="7"/>
        <item sd="0" x="8"/>
        <item sd="0" x="9"/>
        <item sd="0" x="10"/>
        <item sd="0" x="11"/>
        <item sd="0" x="12"/>
        <item sd="0" x="13"/>
        <item t="default"/>
      </items>
    </pivotField>
  </pivotFields>
  <rowFields count="2">
    <field x="15"/>
    <field x="18"/>
  </rowFields>
  <rowItems count="3">
    <i>
      <x/>
    </i>
    <i>
      <x v="1"/>
    </i>
    <i>
      <x v="2"/>
    </i>
  </rowItems>
  <colFields count="1">
    <field x="-2"/>
  </colFields>
  <colItems count="3">
    <i>
      <x/>
    </i>
    <i i="1">
      <x v="1"/>
    </i>
    <i i="2">
      <x v="2"/>
    </i>
  </colItems>
  <dataFields count="3">
    <dataField name="Min Temp" fld="7" subtotal="min" baseField="15" baseItem="0" numFmtId="2"/>
    <dataField name="Max Temp" fld="7" subtotal="max" baseField="15" baseItem="0" numFmtId="2"/>
    <dataField name="Avg Temp" fld="7" subtotal="average" baseField="15" baseItem="0" numFmtId="2"/>
  </dataFields>
  <formats count="19">
    <format dxfId="96">
      <pivotArea field="-2" type="button" dataOnly="0" labelOnly="1" outline="0" axis="axisCol" fieldPosition="0"/>
    </format>
    <format dxfId="95">
      <pivotArea type="all" dataOnly="0" outline="0" fieldPosition="0"/>
    </format>
    <format dxfId="94">
      <pivotArea outline="0" collapsedLevelsAreSubtotals="1" fieldPosition="0"/>
    </format>
    <format dxfId="93">
      <pivotArea type="origin" dataOnly="0" labelOnly="1" outline="0" fieldPosition="0"/>
    </format>
    <format dxfId="92">
      <pivotArea field="-2" type="button" dataOnly="0" labelOnly="1" outline="0" axis="axisCol" fieldPosition="0"/>
    </format>
    <format dxfId="91">
      <pivotArea type="topRight" dataOnly="0" labelOnly="1" outline="0" fieldPosition="0"/>
    </format>
    <format dxfId="90">
      <pivotArea field="15" type="button" dataOnly="0" labelOnly="1" outline="0" axis="axisRow" fieldPosition="0"/>
    </format>
    <format dxfId="89">
      <pivotArea field="18" type="button" dataOnly="0" labelOnly="1" outline="0" axis="axisRow" fieldPosition="1"/>
    </format>
    <format dxfId="88">
      <pivotArea dataOnly="0" labelOnly="1" outline="0" fieldPosition="0">
        <references count="1">
          <reference field="15" count="0"/>
        </references>
      </pivotArea>
    </format>
    <format dxfId="87">
      <pivotArea dataOnly="0" labelOnly="1" outline="0" fieldPosition="0">
        <references count="1">
          <reference field="4294967294" count="3">
            <x v="0"/>
            <x v="1"/>
            <x v="2"/>
          </reference>
        </references>
      </pivotArea>
    </format>
    <format dxfId="86">
      <pivotArea type="all" dataOnly="0" outline="0" fieldPosition="0"/>
    </format>
    <format dxfId="85">
      <pivotArea outline="0" collapsedLevelsAreSubtotals="1" fieldPosition="0"/>
    </format>
    <format dxfId="84">
      <pivotArea type="origin" dataOnly="0" labelOnly="1" outline="0" fieldPosition="0"/>
    </format>
    <format dxfId="83">
      <pivotArea field="-2" type="button" dataOnly="0" labelOnly="1" outline="0" axis="axisCol" fieldPosition="0"/>
    </format>
    <format dxfId="82">
      <pivotArea type="topRight" dataOnly="0" labelOnly="1" outline="0" fieldPosition="0"/>
    </format>
    <format dxfId="81">
      <pivotArea field="15" type="button" dataOnly="0" labelOnly="1" outline="0" axis="axisRow" fieldPosition="0"/>
    </format>
    <format dxfId="80">
      <pivotArea field="18" type="button" dataOnly="0" labelOnly="1" outline="0" axis="axisRow" fieldPosition="1"/>
    </format>
    <format dxfId="79">
      <pivotArea dataOnly="0" labelOnly="1" outline="0" fieldPosition="0">
        <references count="1">
          <reference field="15" count="0"/>
        </references>
      </pivotArea>
    </format>
    <format dxfId="78">
      <pivotArea dataOnly="0" labelOnly="1" outline="0" fieldPosition="0">
        <references count="1">
          <reference field="4294967294" count="3">
            <x v="0"/>
            <x v="1"/>
            <x v="2"/>
          </reference>
        </references>
      </pivotArea>
    </format>
  </formats>
  <conditionalFormats count="7">
    <conditionalFormat priority="8">
      <pivotAreas count="1">
        <pivotArea type="data" outline="0" collapsedLevelsAreSubtotals="1" fieldPosition="0">
          <references count="3">
            <reference field="4294967294" count="1" selected="0">
              <x v="0"/>
            </reference>
            <reference field="15" count="1" selected="0">
              <x v="0"/>
            </reference>
            <reference field="18" count="17" selected="0">
              <x v="28"/>
              <x v="29"/>
              <x v="30"/>
              <x v="31"/>
              <x v="33"/>
              <x v="34"/>
              <x v="35"/>
              <x v="36"/>
              <x v="37"/>
              <x v="38"/>
              <x v="39"/>
              <x v="40"/>
              <x v="41"/>
              <x v="42"/>
              <x v="43"/>
              <x v="44"/>
              <x v="45"/>
            </reference>
          </references>
        </pivotArea>
      </pivotAreas>
    </conditionalFormat>
    <conditionalFormat priority="7">
      <pivotAreas count="1">
        <pivotArea type="data" outline="0" collapsedLevelsAreSubtotals="1" fieldPosition="0">
          <references count="3">
            <reference field="4294967294" count="1" selected="0">
              <x v="1"/>
            </reference>
            <reference field="15" count="1" selected="0">
              <x v="0"/>
            </reference>
            <reference field="18" count="17" selected="0">
              <x v="28"/>
              <x v="29"/>
              <x v="30"/>
              <x v="31"/>
              <x v="33"/>
              <x v="34"/>
              <x v="35"/>
              <x v="36"/>
              <x v="37"/>
              <x v="38"/>
              <x v="39"/>
              <x v="40"/>
              <x v="41"/>
              <x v="42"/>
              <x v="43"/>
              <x v="44"/>
              <x v="45"/>
            </reference>
          </references>
        </pivotArea>
      </pivotAreas>
    </conditionalFormat>
    <conditionalFormat priority="5">
      <pivotAreas count="1">
        <pivotArea type="data" outline="0" collapsedLevelsAreSubtotals="1" fieldPosition="0">
          <references count="3">
            <reference field="4294967294" count="1" selected="0">
              <x v="0"/>
            </reference>
            <reference field="15" count="1" selected="0">
              <x v="1"/>
            </reference>
            <reference field="18" count="13" selected="0">
              <x v="28"/>
              <x v="29"/>
              <x v="30"/>
              <x v="31"/>
              <x v="32"/>
              <x v="33"/>
              <x v="35"/>
              <x v="36"/>
              <x v="38"/>
              <x v="39"/>
              <x v="40"/>
              <x v="41"/>
              <x v="44"/>
            </reference>
          </references>
        </pivotArea>
      </pivotAreas>
    </conditionalFormat>
    <conditionalFormat priority="4">
      <pivotAreas count="1">
        <pivotArea type="data" outline="0" collapsedLevelsAreSubtotals="1" fieldPosition="0">
          <references count="3">
            <reference field="4294967294" count="1" selected="0">
              <x v="1"/>
            </reference>
            <reference field="15" count="1" selected="0">
              <x v="1"/>
            </reference>
            <reference field="18" count="13" selected="0">
              <x v="28"/>
              <x v="29"/>
              <x v="30"/>
              <x v="31"/>
              <x v="32"/>
              <x v="33"/>
              <x v="35"/>
              <x v="36"/>
              <x v="38"/>
              <x v="39"/>
              <x v="40"/>
              <x v="41"/>
              <x v="44"/>
            </reference>
          </references>
        </pivotArea>
      </pivotAreas>
    </conditionalFormat>
    <conditionalFormat priority="3">
      <pivotAreas count="1">
        <pivotArea type="data" outline="0" collapsedLevelsAreSubtotals="1" fieldPosition="0">
          <references count="3">
            <reference field="4294967294" count="1" selected="0">
              <x v="0"/>
            </reference>
            <reference field="15" count="1" selected="0">
              <x v="2"/>
            </reference>
            <reference field="18" count="6" selected="0">
              <x v="32"/>
              <x v="33"/>
              <x v="36"/>
              <x v="39"/>
              <x v="40"/>
              <x v="41"/>
            </reference>
          </references>
        </pivotArea>
      </pivotAreas>
    </conditionalFormat>
    <conditionalFormat priority="2">
      <pivotAreas count="1">
        <pivotArea type="data" outline="0" collapsedLevelsAreSubtotals="1" fieldPosition="0">
          <references count="3">
            <reference field="4294967294" count="1" selected="0">
              <x v="0"/>
            </reference>
            <reference field="15" count="1" selected="0">
              <x v="2"/>
            </reference>
            <reference field="18" count="7" selected="0">
              <x v="31"/>
              <x v="32"/>
              <x v="33"/>
              <x v="36"/>
              <x v="39"/>
              <x v="40"/>
              <x v="41"/>
            </reference>
          </references>
        </pivotArea>
      </pivotAreas>
    </conditionalFormat>
    <conditionalFormat priority="1">
      <pivotAreas count="1">
        <pivotArea type="data" outline="0" collapsedLevelsAreSubtotals="1" fieldPosition="0">
          <references count="3">
            <reference field="4294967294" count="1" selected="0">
              <x v="1"/>
            </reference>
            <reference field="15" count="1" selected="0">
              <x v="2"/>
            </reference>
            <reference field="18" count="7" selected="0">
              <x v="31"/>
              <x v="32"/>
              <x v="33"/>
              <x v="36"/>
              <x v="39"/>
              <x v="40"/>
              <x v="4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D13316-3A75-403D-9F27-7857C425548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compact="0" compactData="0" gridDropZones="1" multipleFieldFilters="0">
  <location ref="I3:AI22" firstHeaderRow="1" firstDataRow="2" firstDataCol="3"/>
  <pivotFields count="20">
    <pivotField compact="0" outline="0" showAll="0"/>
    <pivotField axis="axisRow" compact="0" numFmtId="14" outline="0" showAll="0">
      <items count="19">
        <item x="17"/>
        <item x="0"/>
        <item x="1"/>
        <item x="2"/>
        <item x="3"/>
        <item x="4"/>
        <item x="5"/>
        <item x="6"/>
        <item x="7"/>
        <item x="8"/>
        <item x="9"/>
        <item x="10"/>
        <item x="11"/>
        <item x="12"/>
        <item x="13"/>
        <item x="14"/>
        <item x="15"/>
        <item x="16"/>
        <item t="default"/>
      </items>
    </pivotField>
    <pivotField compact="0" outline="0" showAll="0"/>
    <pivotField axis="axisCol" compact="0" outline="0" showAll="0">
      <items count="25">
        <item x="22"/>
        <item x="0"/>
        <item x="1"/>
        <item x="2"/>
        <item x="3"/>
        <item x="23"/>
        <item x="4"/>
        <item x="5"/>
        <item x="6"/>
        <item x="7"/>
        <item x="8"/>
        <item x="9"/>
        <item x="10"/>
        <item x="11"/>
        <item x="12"/>
        <item x="13"/>
        <item x="14"/>
        <item x="15"/>
        <item x="16"/>
        <item x="17"/>
        <item x="18"/>
        <item x="19"/>
        <item x="20"/>
        <item x="21"/>
        <item t="default"/>
      </items>
    </pivotField>
    <pivotField compact="0" outline="0" showAll="0"/>
    <pivotField compact="0" outline="0" showAll="0"/>
    <pivotField dataField="1" compact="0" outline="0" showAll="0"/>
    <pivotField compact="0" numFmtId="2" outline="0" showAll="0"/>
    <pivotField compact="0" numFmtId="2" outline="0" showAll="0"/>
    <pivotField compact="0" numFmtId="2" outline="0" showAll="0"/>
    <pivotField compact="0" numFmtId="2"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axis="axisRow"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compact="0" outline="0" showAll="0" defaultSubtotal="0">
      <items count="14">
        <item sd="0" x="0"/>
        <item x="1"/>
        <item x="2"/>
        <item sd="0" x="3"/>
        <item sd="0" x="4"/>
        <item sd="0" x="5"/>
        <item sd="0" x="6"/>
        <item sd="0" x="7"/>
        <item sd="0" x="8"/>
        <item sd="0" x="9"/>
        <item sd="0" x="10"/>
        <item sd="0" x="11"/>
        <item sd="0" x="12"/>
        <item sd="0" x="13"/>
      </items>
    </pivotField>
  </pivotFields>
  <rowFields count="3">
    <field x="19"/>
    <field x="18"/>
    <field x="1"/>
  </rowFields>
  <rowItems count="18">
    <i>
      <x v="1"/>
      <x v="28"/>
    </i>
    <i r="1">
      <x v="29"/>
    </i>
    <i r="1">
      <x v="30"/>
    </i>
    <i r="1">
      <x v="31"/>
    </i>
    <i>
      <x v="2"/>
      <x v="32"/>
    </i>
    <i r="1">
      <x v="33"/>
    </i>
    <i r="1">
      <x v="34"/>
    </i>
    <i r="1">
      <x v="35"/>
    </i>
    <i r="1">
      <x v="36"/>
    </i>
    <i r="1">
      <x v="37"/>
    </i>
    <i r="1">
      <x v="38"/>
    </i>
    <i r="1">
      <x v="39"/>
    </i>
    <i r="1">
      <x v="40"/>
    </i>
    <i r="1">
      <x v="41"/>
    </i>
    <i r="1">
      <x v="42"/>
    </i>
    <i r="1">
      <x v="43"/>
    </i>
    <i r="1">
      <x v="44"/>
    </i>
    <i r="1">
      <x v="45"/>
    </i>
  </rowItems>
  <colFields count="1">
    <field x="3"/>
  </colFields>
  <colItems count="24">
    <i>
      <x/>
    </i>
    <i>
      <x v="1"/>
    </i>
    <i>
      <x v="2"/>
    </i>
    <i>
      <x v="3"/>
    </i>
    <i>
      <x v="4"/>
    </i>
    <i>
      <x v="5"/>
    </i>
    <i>
      <x v="6"/>
    </i>
    <i>
      <x v="7"/>
    </i>
    <i>
      <x v="8"/>
    </i>
    <i>
      <x v="9"/>
    </i>
    <i>
      <x v="10"/>
    </i>
    <i>
      <x v="11"/>
    </i>
    <i>
      <x v="12"/>
    </i>
    <i>
      <x v="13"/>
    </i>
    <i>
      <x v="14"/>
    </i>
    <i>
      <x v="15"/>
    </i>
    <i>
      <x v="16"/>
    </i>
    <i>
      <x v="17"/>
    </i>
    <i>
      <x v="18"/>
    </i>
    <i>
      <x v="19"/>
    </i>
    <i>
      <x v="20"/>
    </i>
    <i>
      <x v="21"/>
    </i>
    <i>
      <x v="22"/>
    </i>
    <i>
      <x v="23"/>
    </i>
  </colItems>
  <dataFields count="1">
    <dataField name="Sum of Weathersit" fld="6" baseField="0" baseItem="0"/>
  </dataFields>
  <formats count="8">
    <format dxfId="104">
      <pivotArea type="all" dataOnly="0" outline="0" fieldPosition="0"/>
    </format>
    <format dxfId="103">
      <pivotArea outline="0" collapsedLevelsAreSubtotals="1" fieldPosition="0"/>
    </format>
    <format dxfId="102">
      <pivotArea type="origin" dataOnly="0" labelOnly="1" outline="0" fieldPosition="0"/>
    </format>
    <format dxfId="101">
      <pivotArea type="topRight" dataOnly="0" labelOnly="1" outline="0" fieldPosition="0"/>
    </format>
    <format dxfId="100">
      <pivotArea dataOnly="0" labelOnly="1" outline="0" fieldPosition="0">
        <references count="1">
          <reference field="19" count="2">
            <x v="1"/>
            <x v="2"/>
          </reference>
        </references>
      </pivotArea>
    </format>
    <format dxfId="99">
      <pivotArea dataOnly="0" labelOnly="1" outline="0" fieldPosition="0">
        <references count="2">
          <reference field="18" count="4">
            <x v="28"/>
            <x v="29"/>
            <x v="30"/>
            <x v="31"/>
          </reference>
          <reference field="19" count="1" selected="0">
            <x v="1"/>
          </reference>
        </references>
      </pivotArea>
    </format>
    <format dxfId="98">
      <pivotArea dataOnly="0" labelOnly="1" outline="0" fieldPosition="0">
        <references count="2">
          <reference field="18" count="14">
            <x v="32"/>
            <x v="33"/>
            <x v="34"/>
            <x v="35"/>
            <x v="36"/>
            <x v="37"/>
            <x v="38"/>
            <x v="39"/>
            <x v="40"/>
            <x v="41"/>
            <x v="42"/>
            <x v="43"/>
            <x v="44"/>
            <x v="45"/>
          </reference>
          <reference field="19" count="1" selected="0">
            <x v="2"/>
          </reference>
        </references>
      </pivotArea>
    </format>
    <format dxfId="97">
      <pivotArea dataOnly="0" labelOnly="1" outline="0" fieldPosition="0">
        <references count="1">
          <reference field="3" count="0"/>
        </references>
      </pivotArea>
    </format>
  </formats>
  <conditionalFormats count="1">
    <conditionalFormat priority="9">
      <pivotAreas count="1">
        <pivotArea type="data" outline="0" collapsedLevelsAreSubtotals="1" fieldPosition="0">
          <references count="4">
            <reference field="4294967294" count="1" selected="0">
              <x v="0"/>
            </reference>
            <reference field="3" count="24" selected="0">
              <x v="0"/>
              <x v="1"/>
              <x v="2"/>
              <x v="3"/>
              <x v="4"/>
              <x v="5"/>
              <x v="6"/>
              <x v="7"/>
              <x v="8"/>
              <x v="9"/>
              <x v="10"/>
              <x v="11"/>
              <x v="12"/>
              <x v="13"/>
              <x v="14"/>
              <x v="15"/>
              <x v="16"/>
              <x v="17"/>
              <x v="18"/>
              <x v="19"/>
              <x v="20"/>
              <x v="21"/>
              <x v="22"/>
              <x v="23"/>
            </reference>
            <reference field="18" count="18" selected="0">
              <x v="28"/>
              <x v="29"/>
              <x v="30"/>
              <x v="31"/>
              <x v="32"/>
              <x v="33"/>
              <x v="34"/>
              <x v="35"/>
              <x v="36"/>
              <x v="37"/>
              <x v="38"/>
              <x v="39"/>
              <x v="40"/>
              <x v="41"/>
              <x v="42"/>
              <x v="43"/>
              <x v="44"/>
              <x v="45"/>
            </reference>
            <reference field="19" count="2" selected="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0BDC94-B55D-4F1C-A6DF-62E88E8E9B7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3:O10" firstHeaderRow="0" firstDataRow="1" firstDataCol="1"/>
  <pivotFields count="20">
    <pivotField showAll="0"/>
    <pivotField numFmtId="14" showAll="0">
      <items count="19">
        <item x="17"/>
        <item x="0"/>
        <item x="1"/>
        <item x="2"/>
        <item x="3"/>
        <item x="4"/>
        <item x="5"/>
        <item x="6"/>
        <item x="7"/>
        <item x="8"/>
        <item x="9"/>
        <item x="10"/>
        <item x="11"/>
        <item x="12"/>
        <item x="13"/>
        <item x="14"/>
        <item x="15"/>
        <item x="16"/>
        <item t="default"/>
      </items>
    </pivotField>
    <pivotField showAll="0"/>
    <pivotField showAll="0">
      <items count="25">
        <item x="22"/>
        <item x="0"/>
        <item x="1"/>
        <item x="2"/>
        <item x="3"/>
        <item x="23"/>
        <item x="4"/>
        <item x="5"/>
        <item x="6"/>
        <item x="7"/>
        <item x="8"/>
        <item x="9"/>
        <item x="10"/>
        <item x="11"/>
        <item x="12"/>
        <item x="13"/>
        <item x="14"/>
        <item x="15"/>
        <item x="16"/>
        <item x="17"/>
        <item x="18"/>
        <item x="19"/>
        <item x="20"/>
        <item x="21"/>
        <item t="default"/>
      </items>
    </pivotField>
    <pivotField showAll="0"/>
    <pivotField showAll="0"/>
    <pivotField showAll="0"/>
    <pivotField numFmtId="2" showAll="0"/>
    <pivotField numFmtId="2" showAll="0"/>
    <pivotField numFmtId="2" showAll="0"/>
    <pivotField numFmtId="2" showAll="0"/>
    <pivotField dataField="1" showAll="0"/>
    <pivotField dataField="1" showAll="0"/>
    <pivotField dataField="1" showAll="0"/>
    <pivotField axis="axisRow" showAll="0">
      <items count="8">
        <item sd="0" x="2"/>
        <item sd="0" x="3"/>
        <item sd="0" x="4"/>
        <item sd="0" x="5"/>
        <item sd="0" x="6"/>
        <item sd="0" x="0"/>
        <item sd="0" x="1"/>
        <item t="default"/>
      </items>
    </pivotField>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x="1"/>
        <item x="2"/>
        <item sd="0" x="3"/>
        <item sd="0" x="4"/>
        <item sd="0" x="5"/>
        <item sd="0" x="6"/>
        <item sd="0" x="7"/>
        <item sd="0" x="8"/>
        <item sd="0" x="9"/>
        <item sd="0" x="10"/>
        <item sd="0" x="11"/>
        <item sd="0" x="12"/>
        <item sd="0" x="13"/>
      </items>
    </pivotField>
  </pivotFields>
  <rowFields count="1">
    <field x="14"/>
  </rowFields>
  <rowItems count="7">
    <i>
      <x/>
    </i>
    <i>
      <x v="1"/>
    </i>
    <i>
      <x v="2"/>
    </i>
    <i>
      <x v="3"/>
    </i>
    <i>
      <x v="4"/>
    </i>
    <i>
      <x v="5"/>
    </i>
    <i>
      <x v="6"/>
    </i>
  </rowItems>
  <colFields count="1">
    <field x="-2"/>
  </colFields>
  <colItems count="6">
    <i>
      <x/>
    </i>
    <i i="1">
      <x v="1"/>
    </i>
    <i i="2">
      <x v="2"/>
    </i>
    <i i="3">
      <x v="3"/>
    </i>
    <i i="4">
      <x v="4"/>
    </i>
    <i i="5">
      <x v="5"/>
    </i>
  </colItems>
  <dataFields count="6">
    <dataField name="Sum of Casual" fld="11" baseField="0" baseItem="0"/>
    <dataField name="Casual." fld="11" baseField="0" baseItem="0"/>
    <dataField name="Sum of Registered" fld="12" baseField="0" baseItem="0"/>
    <dataField name="Registered." fld="12" baseField="0" baseItem="0"/>
    <dataField name="Sum of Total" fld="13" baseField="0" baseItem="0"/>
    <dataField name="Total rental" fld="13" baseField="0" baseItem="0"/>
  </dataFields>
  <formats count="15">
    <format dxfId="14">
      <pivotArea collapsedLevelsAreSubtotals="1" fieldPosition="0">
        <references count="2">
          <reference field="4294967294" count="1" selected="0">
            <x v="1"/>
          </reference>
          <reference field="14" count="0"/>
        </references>
      </pivotArea>
    </format>
    <format dxfId="13">
      <pivotArea collapsedLevelsAreSubtotals="1" fieldPosition="0">
        <references count="2">
          <reference field="4294967294" count="1" selected="0">
            <x v="3"/>
          </reference>
          <reference field="14" count="0"/>
        </references>
      </pivotArea>
    </format>
    <format dxfId="12">
      <pivotArea collapsedLevelsAreSubtotals="1" fieldPosition="0">
        <references count="2">
          <reference field="4294967294" count="1" selected="0">
            <x v="5"/>
          </reference>
          <reference field="14" count="0"/>
        </references>
      </pivotArea>
    </format>
    <format dxfId="11">
      <pivotArea dataOnly="0" labelOnly="1" outline="0" fieldPosition="0">
        <references count="1">
          <reference field="4294967294" count="1">
            <x v="1"/>
          </reference>
        </references>
      </pivotArea>
    </format>
    <format dxfId="10">
      <pivotArea dataOnly="0" labelOnly="1" outline="0" fieldPosition="0">
        <references count="1">
          <reference field="4294967294" count="1">
            <x v="3"/>
          </reference>
        </references>
      </pivotArea>
    </format>
    <format dxfId="9">
      <pivotArea dataOnly="0" labelOnly="1" outline="0" fieldPosition="0">
        <references count="1">
          <reference field="4294967294" count="1">
            <x v="5"/>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3"/>
          </reference>
        </references>
      </pivotArea>
    </format>
    <format dxfId="5">
      <pivotArea outline="0" collapsedLevelsAreSubtotals="1" fieldPosition="0">
        <references count="1">
          <reference field="4294967294" count="1" selected="0">
            <x v="3"/>
          </reference>
        </references>
      </pivotArea>
    </format>
    <format dxfId="4">
      <pivotArea dataOnly="0" labelOnly="1" outline="0" fieldPosition="0">
        <references count="1">
          <reference field="4294967294" count="1">
            <x v="2"/>
          </reference>
        </references>
      </pivotArea>
    </format>
    <format dxfId="3">
      <pivotArea outline="0" collapsedLevelsAreSubtotals="1" fieldPosition="0">
        <references count="1">
          <reference field="4294967294" count="1" selected="0">
            <x v="5"/>
          </reference>
        </references>
      </pivotArea>
    </format>
    <format dxfId="2">
      <pivotArea outline="0" collapsedLevelsAreSubtotals="1" fieldPosition="0">
        <references count="1">
          <reference field="4294967294" count="1" selected="0">
            <x v="5"/>
          </reference>
        </references>
      </pivotArea>
    </format>
    <format dxfId="1">
      <pivotArea dataOnly="0" labelOnly="1" outline="0" fieldPosition="0">
        <references count="1">
          <reference field="4294967294" count="1">
            <x v="4"/>
          </reference>
        </references>
      </pivotArea>
    </format>
    <format dxfId="0">
      <pivotArea dataOnly="0" labelOnly="1" outline="0" fieldPosition="0">
        <references count="1">
          <reference field="4294967294" count="1">
            <x v="0"/>
          </reference>
        </references>
      </pivotArea>
    </format>
  </formats>
  <conditionalFormats count="4">
    <conditionalFormat priority="7">
      <pivotAreas count="1">
        <pivotArea type="data" outline="0" collapsedLevelsAreSubtotals="1" fieldPosition="0">
          <references count="1">
            <reference field="4294967294" count="1" selected="0">
              <x v="2"/>
            </reference>
          </references>
        </pivotArea>
      </pivotAreas>
    </conditionalFormat>
    <conditionalFormat priority="6">
      <pivotAreas count="1">
        <pivotArea type="data" collapsedLevelsAreSubtotals="1" fieldPosition="0">
          <references count="2">
            <reference field="4294967294" count="1" selected="0">
              <x v="4"/>
            </reference>
            <reference field="14" count="7">
              <x v="0"/>
              <x v="1"/>
              <x v="2"/>
              <x v="3"/>
              <x v="4"/>
              <x v="5"/>
              <x v="6"/>
            </reference>
          </references>
        </pivotArea>
      </pivotAreas>
    </conditionalFormat>
    <conditionalFormat priority="9">
      <pivotAreas count="1">
        <pivotArea type="data" collapsedLevelsAreSubtotals="1" fieldPosition="0">
          <references count="2">
            <reference field="4294967294" count="1" selected="0">
              <x v="2"/>
            </reference>
            <reference field="14" count="7">
              <x v="0"/>
              <x v="1"/>
              <x v="2"/>
              <x v="3"/>
              <x v="4"/>
              <x v="5"/>
              <x v="6"/>
            </reference>
          </references>
        </pivotArea>
      </pivotAreas>
    </conditionalFormat>
    <conditionalFormat priority="10">
      <pivotAreas count="1">
        <pivotArea type="data" collapsedLevelsAreSubtotals="1" fieldPosition="0">
          <references count="2">
            <reference field="4294967294" count="1" selected="0">
              <x v="0"/>
            </reference>
            <reference field="14"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9DC85E-CEB8-49B0-87C6-9FDB51828CE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G23" firstHeaderRow="0" firstDataRow="1" firstDataCol="1"/>
  <pivotFields count="20">
    <pivotField showAll="0"/>
    <pivotField axis="axisRow" numFmtId="14" showAll="0">
      <items count="19">
        <item x="17"/>
        <item x="0"/>
        <item x="1"/>
        <item x="2"/>
        <item x="3"/>
        <item x="4"/>
        <item x="5"/>
        <item x="6"/>
        <item x="7"/>
        <item x="8"/>
        <item x="9"/>
        <item x="10"/>
        <item x="11"/>
        <item x="12"/>
        <item x="13"/>
        <item x="14"/>
        <item x="15"/>
        <item x="16"/>
        <item t="default"/>
      </items>
    </pivotField>
    <pivotField showAll="0"/>
    <pivotField showAll="0">
      <items count="25">
        <item x="22"/>
        <item x="0"/>
        <item x="1"/>
        <item x="2"/>
        <item x="3"/>
        <item x="23"/>
        <item x="4"/>
        <item x="5"/>
        <item x="6"/>
        <item x="7"/>
        <item x="8"/>
        <item x="9"/>
        <item x="10"/>
        <item x="11"/>
        <item x="12"/>
        <item x="13"/>
        <item x="14"/>
        <item x="15"/>
        <item x="16"/>
        <item x="17"/>
        <item x="18"/>
        <item x="19"/>
        <item x="20"/>
        <item x="21"/>
        <item t="default"/>
      </items>
    </pivotField>
    <pivotField showAll="0"/>
    <pivotField showAll="0"/>
    <pivotField showAll="0"/>
    <pivotField numFmtId="2" showAll="0"/>
    <pivotField numFmtId="2" showAll="0"/>
    <pivotField numFmtId="2" showAll="0"/>
    <pivotField numFmtId="2" showAll="0"/>
    <pivotField dataField="1" showAll="0"/>
    <pivotField dataField="1" showAll="0"/>
    <pivotField dataField="1" showAll="0"/>
    <pivotField showAll="0">
      <items count="8">
        <item x="1"/>
        <item x="2"/>
        <item x="3"/>
        <item x="4"/>
        <item x="5"/>
        <item x="6"/>
        <item x="0"/>
        <item t="default"/>
      </items>
    </pivotField>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x="1"/>
        <item x="2"/>
        <item sd="0" x="3"/>
        <item sd="0" x="4"/>
        <item sd="0" x="5"/>
        <item sd="0" x="6"/>
        <item sd="0" x="7"/>
        <item sd="0" x="8"/>
        <item sd="0" x="9"/>
        <item sd="0" x="10"/>
        <item sd="0" x="11"/>
        <item sd="0" x="12"/>
        <item sd="0" x="13"/>
      </items>
    </pivotField>
  </pivotFields>
  <rowFields count="3">
    <field x="19"/>
    <field x="18"/>
    <field x="1"/>
  </rowFields>
  <rowItems count="20">
    <i>
      <x v="1"/>
    </i>
    <i r="1">
      <x v="28"/>
    </i>
    <i r="1">
      <x v="29"/>
    </i>
    <i r="1">
      <x v="30"/>
    </i>
    <i r="1">
      <x v="31"/>
    </i>
    <i>
      <x v="2"/>
    </i>
    <i r="1">
      <x v="32"/>
    </i>
    <i r="1">
      <x v="33"/>
    </i>
    <i r="1">
      <x v="34"/>
    </i>
    <i r="1">
      <x v="35"/>
    </i>
    <i r="1">
      <x v="36"/>
    </i>
    <i r="1">
      <x v="37"/>
    </i>
    <i r="1">
      <x v="38"/>
    </i>
    <i r="1">
      <x v="39"/>
    </i>
    <i r="1">
      <x v="40"/>
    </i>
    <i r="1">
      <x v="41"/>
    </i>
    <i r="1">
      <x v="42"/>
    </i>
    <i r="1">
      <x v="43"/>
    </i>
    <i r="1">
      <x v="44"/>
    </i>
    <i r="1">
      <x v="45"/>
    </i>
  </rowItems>
  <colFields count="1">
    <field x="-2"/>
  </colFields>
  <colItems count="6">
    <i>
      <x/>
    </i>
    <i i="1">
      <x v="1"/>
    </i>
    <i i="2">
      <x v="2"/>
    </i>
    <i i="3">
      <x v="3"/>
    </i>
    <i i="4">
      <x v="4"/>
    </i>
    <i i="5">
      <x v="5"/>
    </i>
  </colItems>
  <dataFields count="6">
    <dataField name="Sum of Casual" fld="11" baseField="0" baseItem="0"/>
    <dataField name="sum" fld="11" baseField="0" baseItem="0"/>
    <dataField name="Sum of Registered" fld="12" baseField="0" baseItem="0"/>
    <dataField name="DIgit" fld="12" baseField="0" baseItem="0"/>
    <dataField name="Total(Reg+Casual)" fld="13" baseField="0" baseItem="0"/>
    <dataField name="New" fld="13" baseField="0" baseItem="0"/>
  </dataFields>
  <formats count="63">
    <format dxfId="77">
      <pivotArea collapsedLevelsAreSubtotals="1" fieldPosition="0">
        <references count="3">
          <reference field="4294967294" count="1" selected="0">
            <x v="1"/>
          </reference>
          <reference field="18" count="1">
            <x v="28"/>
          </reference>
          <reference field="19" count="1" selected="0">
            <x v="1"/>
          </reference>
        </references>
      </pivotArea>
    </format>
    <format dxfId="76">
      <pivotArea collapsedLevelsAreSubtotals="1" fieldPosition="0">
        <references count="3">
          <reference field="4294967294" count="1" selected="0">
            <x v="1"/>
          </reference>
          <reference field="18" count="1">
            <x v="29"/>
          </reference>
          <reference field="19" count="1" selected="0">
            <x v="1"/>
          </reference>
        </references>
      </pivotArea>
    </format>
    <format dxfId="75">
      <pivotArea collapsedLevelsAreSubtotals="1" fieldPosition="0">
        <references count="3">
          <reference field="4294967294" count="1" selected="0">
            <x v="1"/>
          </reference>
          <reference field="18" count="1">
            <x v="30"/>
          </reference>
          <reference field="19" count="1" selected="0">
            <x v="1"/>
          </reference>
        </references>
      </pivotArea>
    </format>
    <format dxfId="74">
      <pivotArea collapsedLevelsAreSubtotals="1" fieldPosition="0">
        <references count="3">
          <reference field="4294967294" count="1" selected="0">
            <x v="1"/>
          </reference>
          <reference field="18" count="1">
            <x v="31"/>
          </reference>
          <reference field="19" count="1" selected="0">
            <x v="1"/>
          </reference>
        </references>
      </pivotArea>
    </format>
    <format dxfId="73">
      <pivotArea collapsedLevelsAreSubtotals="1" fieldPosition="0">
        <references count="2">
          <reference field="4294967294" count="1" selected="0">
            <x v="1"/>
          </reference>
          <reference field="19" count="1">
            <x v="2"/>
          </reference>
        </references>
      </pivotArea>
    </format>
    <format dxfId="72">
      <pivotArea collapsedLevelsAreSubtotals="1" fieldPosition="0">
        <references count="3">
          <reference field="4294967294" count="1" selected="0">
            <x v="1"/>
          </reference>
          <reference field="18" count="1">
            <x v="32"/>
          </reference>
          <reference field="19" count="1" selected="0">
            <x v="2"/>
          </reference>
        </references>
      </pivotArea>
    </format>
    <format dxfId="71">
      <pivotArea collapsedLevelsAreSubtotals="1" fieldPosition="0">
        <references count="3">
          <reference field="4294967294" count="1" selected="0">
            <x v="1"/>
          </reference>
          <reference field="18" count="1">
            <x v="33"/>
          </reference>
          <reference field="19" count="1" selected="0">
            <x v="2"/>
          </reference>
        </references>
      </pivotArea>
    </format>
    <format dxfId="70">
      <pivotArea collapsedLevelsAreSubtotals="1" fieldPosition="0">
        <references count="3">
          <reference field="4294967294" count="1" selected="0">
            <x v="1"/>
          </reference>
          <reference field="18" count="1">
            <x v="34"/>
          </reference>
          <reference field="19" count="1" selected="0">
            <x v="2"/>
          </reference>
        </references>
      </pivotArea>
    </format>
    <format dxfId="69">
      <pivotArea collapsedLevelsAreSubtotals="1" fieldPosition="0">
        <references count="3">
          <reference field="4294967294" count="1" selected="0">
            <x v="1"/>
          </reference>
          <reference field="18" count="1">
            <x v="35"/>
          </reference>
          <reference field="19" count="1" selected="0">
            <x v="2"/>
          </reference>
        </references>
      </pivotArea>
    </format>
    <format dxfId="68">
      <pivotArea collapsedLevelsAreSubtotals="1" fieldPosition="0">
        <references count="3">
          <reference field="4294967294" count="1" selected="0">
            <x v="1"/>
          </reference>
          <reference field="18" count="1">
            <x v="36"/>
          </reference>
          <reference field="19" count="1" selected="0">
            <x v="2"/>
          </reference>
        </references>
      </pivotArea>
    </format>
    <format dxfId="67">
      <pivotArea collapsedLevelsAreSubtotals="1" fieldPosition="0">
        <references count="3">
          <reference field="4294967294" count="1" selected="0">
            <x v="1"/>
          </reference>
          <reference field="18" count="1">
            <x v="37"/>
          </reference>
          <reference field="19" count="1" selected="0">
            <x v="2"/>
          </reference>
        </references>
      </pivotArea>
    </format>
    <format dxfId="66">
      <pivotArea collapsedLevelsAreSubtotals="1" fieldPosition="0">
        <references count="3">
          <reference field="4294967294" count="1" selected="0">
            <x v="1"/>
          </reference>
          <reference field="18" count="1">
            <x v="38"/>
          </reference>
          <reference field="19" count="1" selected="0">
            <x v="2"/>
          </reference>
        </references>
      </pivotArea>
    </format>
    <format dxfId="65">
      <pivotArea collapsedLevelsAreSubtotals="1" fieldPosition="0">
        <references count="3">
          <reference field="4294967294" count="1" selected="0">
            <x v="1"/>
          </reference>
          <reference field="18" count="1">
            <x v="39"/>
          </reference>
          <reference field="19" count="1" selected="0">
            <x v="2"/>
          </reference>
        </references>
      </pivotArea>
    </format>
    <format dxfId="64">
      <pivotArea collapsedLevelsAreSubtotals="1" fieldPosition="0">
        <references count="3">
          <reference field="4294967294" count="1" selected="0">
            <x v="1"/>
          </reference>
          <reference field="18" count="1">
            <x v="40"/>
          </reference>
          <reference field="19" count="1" selected="0">
            <x v="2"/>
          </reference>
        </references>
      </pivotArea>
    </format>
    <format dxfId="63">
      <pivotArea collapsedLevelsAreSubtotals="1" fieldPosition="0">
        <references count="3">
          <reference field="4294967294" count="1" selected="0">
            <x v="1"/>
          </reference>
          <reference field="18" count="1">
            <x v="41"/>
          </reference>
          <reference field="19" count="1" selected="0">
            <x v="2"/>
          </reference>
        </references>
      </pivotArea>
    </format>
    <format dxfId="62">
      <pivotArea collapsedLevelsAreSubtotals="1" fieldPosition="0">
        <references count="3">
          <reference field="4294967294" count="1" selected="0">
            <x v="1"/>
          </reference>
          <reference field="18" count="1">
            <x v="42"/>
          </reference>
          <reference field="19" count="1" selected="0">
            <x v="2"/>
          </reference>
        </references>
      </pivotArea>
    </format>
    <format dxfId="61">
      <pivotArea collapsedLevelsAreSubtotals="1" fieldPosition="0">
        <references count="3">
          <reference field="4294967294" count="1" selected="0">
            <x v="1"/>
          </reference>
          <reference field="18" count="1">
            <x v="43"/>
          </reference>
          <reference field="19" count="1" selected="0">
            <x v="2"/>
          </reference>
        </references>
      </pivotArea>
    </format>
    <format dxfId="60">
      <pivotArea collapsedLevelsAreSubtotals="1" fieldPosition="0">
        <references count="3">
          <reference field="4294967294" count="1" selected="0">
            <x v="1"/>
          </reference>
          <reference field="18" count="1">
            <x v="44"/>
          </reference>
          <reference field="19" count="1" selected="0">
            <x v="2"/>
          </reference>
        </references>
      </pivotArea>
    </format>
    <format dxfId="59">
      <pivotArea collapsedLevelsAreSubtotals="1" fieldPosition="0">
        <references count="3">
          <reference field="4294967294" count="1" selected="0">
            <x v="1"/>
          </reference>
          <reference field="18" count="1">
            <x v="45"/>
          </reference>
          <reference field="19" count="1" selected="0">
            <x v="2"/>
          </reference>
        </references>
      </pivotArea>
    </format>
    <format dxfId="58">
      <pivotArea dataOnly="0" labelOnly="1" outline="0" fieldPosition="0">
        <references count="1">
          <reference field="4294967294" count="1">
            <x v="1"/>
          </reference>
        </references>
      </pivotArea>
    </format>
    <format dxfId="57">
      <pivotArea dataOnly="0" labelOnly="1" outline="0" fieldPosition="0">
        <references count="1">
          <reference field="4294967294" count="1">
            <x v="3"/>
          </reference>
        </references>
      </pivotArea>
    </format>
    <format dxfId="56">
      <pivotArea collapsedLevelsAreSubtotals="1" fieldPosition="0">
        <references count="3">
          <reference field="4294967294" count="1" selected="0">
            <x v="3"/>
          </reference>
          <reference field="18" count="1">
            <x v="28"/>
          </reference>
          <reference field="19" count="1" selected="0">
            <x v="1"/>
          </reference>
        </references>
      </pivotArea>
    </format>
    <format dxfId="55">
      <pivotArea collapsedLevelsAreSubtotals="1" fieldPosition="0">
        <references count="3">
          <reference field="4294967294" count="1" selected="0">
            <x v="3"/>
          </reference>
          <reference field="18" count="1">
            <x v="29"/>
          </reference>
          <reference field="19" count="1" selected="0">
            <x v="1"/>
          </reference>
        </references>
      </pivotArea>
    </format>
    <format dxfId="54">
      <pivotArea collapsedLevelsAreSubtotals="1" fieldPosition="0">
        <references count="3">
          <reference field="4294967294" count="1" selected="0">
            <x v="3"/>
          </reference>
          <reference field="18" count="1">
            <x v="30"/>
          </reference>
          <reference field="19" count="1" selected="0">
            <x v="1"/>
          </reference>
        </references>
      </pivotArea>
    </format>
    <format dxfId="53">
      <pivotArea collapsedLevelsAreSubtotals="1" fieldPosition="0">
        <references count="3">
          <reference field="4294967294" count="1" selected="0">
            <x v="3"/>
          </reference>
          <reference field="18" count="1">
            <x v="31"/>
          </reference>
          <reference field="19" count="1" selected="0">
            <x v="1"/>
          </reference>
        </references>
      </pivotArea>
    </format>
    <format dxfId="52">
      <pivotArea collapsedLevelsAreSubtotals="1" fieldPosition="0">
        <references count="2">
          <reference field="4294967294" count="1" selected="0">
            <x v="3"/>
          </reference>
          <reference field="19" count="1">
            <x v="2"/>
          </reference>
        </references>
      </pivotArea>
    </format>
    <format dxfId="51">
      <pivotArea collapsedLevelsAreSubtotals="1" fieldPosition="0">
        <references count="3">
          <reference field="4294967294" count="1" selected="0">
            <x v="3"/>
          </reference>
          <reference field="18" count="1">
            <x v="32"/>
          </reference>
          <reference field="19" count="1" selected="0">
            <x v="2"/>
          </reference>
        </references>
      </pivotArea>
    </format>
    <format dxfId="50">
      <pivotArea collapsedLevelsAreSubtotals="1" fieldPosition="0">
        <references count="3">
          <reference field="4294967294" count="1" selected="0">
            <x v="3"/>
          </reference>
          <reference field="18" count="1">
            <x v="33"/>
          </reference>
          <reference field="19" count="1" selected="0">
            <x v="2"/>
          </reference>
        </references>
      </pivotArea>
    </format>
    <format dxfId="49">
      <pivotArea collapsedLevelsAreSubtotals="1" fieldPosition="0">
        <references count="3">
          <reference field="4294967294" count="1" selected="0">
            <x v="3"/>
          </reference>
          <reference field="18" count="1">
            <x v="34"/>
          </reference>
          <reference field="19" count="1" selected="0">
            <x v="2"/>
          </reference>
        </references>
      </pivotArea>
    </format>
    <format dxfId="48">
      <pivotArea collapsedLevelsAreSubtotals="1" fieldPosition="0">
        <references count="3">
          <reference field="4294967294" count="1" selected="0">
            <x v="3"/>
          </reference>
          <reference field="18" count="1">
            <x v="35"/>
          </reference>
          <reference field="19" count="1" selected="0">
            <x v="2"/>
          </reference>
        </references>
      </pivotArea>
    </format>
    <format dxfId="47">
      <pivotArea collapsedLevelsAreSubtotals="1" fieldPosition="0">
        <references count="3">
          <reference field="4294967294" count="1" selected="0">
            <x v="3"/>
          </reference>
          <reference field="18" count="1">
            <x v="36"/>
          </reference>
          <reference field="19" count="1" selected="0">
            <x v="2"/>
          </reference>
        </references>
      </pivotArea>
    </format>
    <format dxfId="46">
      <pivotArea collapsedLevelsAreSubtotals="1" fieldPosition="0">
        <references count="3">
          <reference field="4294967294" count="1" selected="0">
            <x v="3"/>
          </reference>
          <reference field="18" count="1">
            <x v="37"/>
          </reference>
          <reference field="19" count="1" selected="0">
            <x v="2"/>
          </reference>
        </references>
      </pivotArea>
    </format>
    <format dxfId="45">
      <pivotArea collapsedLevelsAreSubtotals="1" fieldPosition="0">
        <references count="3">
          <reference field="4294967294" count="1" selected="0">
            <x v="3"/>
          </reference>
          <reference field="18" count="1">
            <x v="38"/>
          </reference>
          <reference field="19" count="1" selected="0">
            <x v="2"/>
          </reference>
        </references>
      </pivotArea>
    </format>
    <format dxfId="44">
      <pivotArea collapsedLevelsAreSubtotals="1" fieldPosition="0">
        <references count="3">
          <reference field="4294967294" count="1" selected="0">
            <x v="3"/>
          </reference>
          <reference field="18" count="1">
            <x v="39"/>
          </reference>
          <reference field="19" count="1" selected="0">
            <x v="2"/>
          </reference>
        </references>
      </pivotArea>
    </format>
    <format dxfId="43">
      <pivotArea collapsedLevelsAreSubtotals="1" fieldPosition="0">
        <references count="3">
          <reference field="4294967294" count="1" selected="0">
            <x v="3"/>
          </reference>
          <reference field="18" count="1">
            <x v="40"/>
          </reference>
          <reference field="19" count="1" selected="0">
            <x v="2"/>
          </reference>
        </references>
      </pivotArea>
    </format>
    <format dxfId="42">
      <pivotArea collapsedLevelsAreSubtotals="1" fieldPosition="0">
        <references count="3">
          <reference field="4294967294" count="1" selected="0">
            <x v="3"/>
          </reference>
          <reference field="18" count="1">
            <x v="41"/>
          </reference>
          <reference field="19" count="1" selected="0">
            <x v="2"/>
          </reference>
        </references>
      </pivotArea>
    </format>
    <format dxfId="41">
      <pivotArea collapsedLevelsAreSubtotals="1" fieldPosition="0">
        <references count="3">
          <reference field="4294967294" count="1" selected="0">
            <x v="3"/>
          </reference>
          <reference field="18" count="1">
            <x v="42"/>
          </reference>
          <reference field="19" count="1" selected="0">
            <x v="2"/>
          </reference>
        </references>
      </pivotArea>
    </format>
    <format dxfId="40">
      <pivotArea collapsedLevelsAreSubtotals="1" fieldPosition="0">
        <references count="3">
          <reference field="4294967294" count="1" selected="0">
            <x v="3"/>
          </reference>
          <reference field="18" count="1">
            <x v="43"/>
          </reference>
          <reference field="19" count="1" selected="0">
            <x v="2"/>
          </reference>
        </references>
      </pivotArea>
    </format>
    <format dxfId="39">
      <pivotArea collapsedLevelsAreSubtotals="1" fieldPosition="0">
        <references count="3">
          <reference field="4294967294" count="1" selected="0">
            <x v="3"/>
          </reference>
          <reference field="18" count="1">
            <x v="44"/>
          </reference>
          <reference field="19" count="1" selected="0">
            <x v="2"/>
          </reference>
        </references>
      </pivotArea>
    </format>
    <format dxfId="38">
      <pivotArea collapsedLevelsAreSubtotals="1" fieldPosition="0">
        <references count="3">
          <reference field="4294967294" count="1" selected="0">
            <x v="3"/>
          </reference>
          <reference field="18" count="1">
            <x v="45"/>
          </reference>
          <reference field="19" count="1" selected="0">
            <x v="2"/>
          </reference>
        </references>
      </pivotArea>
    </format>
    <format dxfId="37">
      <pivotArea collapsedLevelsAreSubtotals="1" fieldPosition="0">
        <references count="3">
          <reference field="4294967294" count="1" selected="0">
            <x v="5"/>
          </reference>
          <reference field="18" count="1">
            <x v="28"/>
          </reference>
          <reference field="19" count="1" selected="0">
            <x v="1"/>
          </reference>
        </references>
      </pivotArea>
    </format>
    <format dxfId="36">
      <pivotArea collapsedLevelsAreSubtotals="1" fieldPosition="0">
        <references count="3">
          <reference field="4294967294" count="1" selected="0">
            <x v="5"/>
          </reference>
          <reference field="18" count="1">
            <x v="29"/>
          </reference>
          <reference field="19" count="1" selected="0">
            <x v="1"/>
          </reference>
        </references>
      </pivotArea>
    </format>
    <format dxfId="35">
      <pivotArea collapsedLevelsAreSubtotals="1" fieldPosition="0">
        <references count="3">
          <reference field="4294967294" count="1" selected="0">
            <x v="5"/>
          </reference>
          <reference field="18" count="1">
            <x v="30"/>
          </reference>
          <reference field="19" count="1" selected="0">
            <x v="1"/>
          </reference>
        </references>
      </pivotArea>
    </format>
    <format dxfId="34">
      <pivotArea collapsedLevelsAreSubtotals="1" fieldPosition="0">
        <references count="3">
          <reference field="4294967294" count="1" selected="0">
            <x v="5"/>
          </reference>
          <reference field="18" count="1">
            <x v="31"/>
          </reference>
          <reference field="19" count="1" selected="0">
            <x v="1"/>
          </reference>
        </references>
      </pivotArea>
    </format>
    <format dxfId="33">
      <pivotArea collapsedLevelsAreSubtotals="1" fieldPosition="0">
        <references count="2">
          <reference field="4294967294" count="1" selected="0">
            <x v="5"/>
          </reference>
          <reference field="19" count="1">
            <x v="2"/>
          </reference>
        </references>
      </pivotArea>
    </format>
    <format dxfId="32">
      <pivotArea collapsedLevelsAreSubtotals="1" fieldPosition="0">
        <references count="3">
          <reference field="4294967294" count="1" selected="0">
            <x v="5"/>
          </reference>
          <reference field="18" count="1">
            <x v="32"/>
          </reference>
          <reference field="19" count="1" selected="0">
            <x v="2"/>
          </reference>
        </references>
      </pivotArea>
    </format>
    <format dxfId="31">
      <pivotArea collapsedLevelsAreSubtotals="1" fieldPosition="0">
        <references count="3">
          <reference field="4294967294" count="1" selected="0">
            <x v="5"/>
          </reference>
          <reference field="18" count="1">
            <x v="33"/>
          </reference>
          <reference field="19" count="1" selected="0">
            <x v="2"/>
          </reference>
        </references>
      </pivotArea>
    </format>
    <format dxfId="30">
      <pivotArea collapsedLevelsAreSubtotals="1" fieldPosition="0">
        <references count="3">
          <reference field="4294967294" count="1" selected="0">
            <x v="5"/>
          </reference>
          <reference field="18" count="1">
            <x v="34"/>
          </reference>
          <reference field="19" count="1" selected="0">
            <x v="2"/>
          </reference>
        </references>
      </pivotArea>
    </format>
    <format dxfId="29">
      <pivotArea collapsedLevelsAreSubtotals="1" fieldPosition="0">
        <references count="3">
          <reference field="4294967294" count="1" selected="0">
            <x v="5"/>
          </reference>
          <reference field="18" count="1">
            <x v="35"/>
          </reference>
          <reference field="19" count="1" selected="0">
            <x v="2"/>
          </reference>
        </references>
      </pivotArea>
    </format>
    <format dxfId="28">
      <pivotArea collapsedLevelsAreSubtotals="1" fieldPosition="0">
        <references count="3">
          <reference field="4294967294" count="1" selected="0">
            <x v="5"/>
          </reference>
          <reference field="18" count="1">
            <x v="36"/>
          </reference>
          <reference field="19" count="1" selected="0">
            <x v="2"/>
          </reference>
        </references>
      </pivotArea>
    </format>
    <format dxfId="27">
      <pivotArea collapsedLevelsAreSubtotals="1" fieldPosition="0">
        <references count="3">
          <reference field="4294967294" count="1" selected="0">
            <x v="5"/>
          </reference>
          <reference field="18" count="1">
            <x v="37"/>
          </reference>
          <reference field="19" count="1" selected="0">
            <x v="2"/>
          </reference>
        </references>
      </pivotArea>
    </format>
    <format dxfId="26">
      <pivotArea collapsedLevelsAreSubtotals="1" fieldPosition="0">
        <references count="3">
          <reference field="4294967294" count="1" selected="0">
            <x v="5"/>
          </reference>
          <reference field="18" count="1">
            <x v="38"/>
          </reference>
          <reference field="19" count="1" selected="0">
            <x v="2"/>
          </reference>
        </references>
      </pivotArea>
    </format>
    <format dxfId="25">
      <pivotArea collapsedLevelsAreSubtotals="1" fieldPosition="0">
        <references count="3">
          <reference field="4294967294" count="1" selected="0">
            <x v="5"/>
          </reference>
          <reference field="18" count="1">
            <x v="39"/>
          </reference>
          <reference field="19" count="1" selected="0">
            <x v="2"/>
          </reference>
        </references>
      </pivotArea>
    </format>
    <format dxfId="24">
      <pivotArea collapsedLevelsAreSubtotals="1" fieldPosition="0">
        <references count="3">
          <reference field="4294967294" count="1" selected="0">
            <x v="5"/>
          </reference>
          <reference field="18" count="1">
            <x v="40"/>
          </reference>
          <reference field="19" count="1" selected="0">
            <x v="2"/>
          </reference>
        </references>
      </pivotArea>
    </format>
    <format dxfId="23">
      <pivotArea collapsedLevelsAreSubtotals="1" fieldPosition="0">
        <references count="3">
          <reference field="4294967294" count="1" selected="0">
            <x v="5"/>
          </reference>
          <reference field="18" count="1">
            <x v="41"/>
          </reference>
          <reference field="19" count="1" selected="0">
            <x v="2"/>
          </reference>
        </references>
      </pivotArea>
    </format>
    <format dxfId="22">
      <pivotArea collapsedLevelsAreSubtotals="1" fieldPosition="0">
        <references count="3">
          <reference field="4294967294" count="1" selected="0">
            <x v="5"/>
          </reference>
          <reference field="18" count="1">
            <x v="42"/>
          </reference>
          <reference field="19" count="1" selected="0">
            <x v="2"/>
          </reference>
        </references>
      </pivotArea>
    </format>
    <format dxfId="21">
      <pivotArea collapsedLevelsAreSubtotals="1" fieldPosition="0">
        <references count="3">
          <reference field="4294967294" count="1" selected="0">
            <x v="5"/>
          </reference>
          <reference field="18" count="1">
            <x v="43"/>
          </reference>
          <reference field="19" count="1" selected="0">
            <x v="2"/>
          </reference>
        </references>
      </pivotArea>
    </format>
    <format dxfId="20">
      <pivotArea collapsedLevelsAreSubtotals="1" fieldPosition="0">
        <references count="3">
          <reference field="4294967294" count="1" selected="0">
            <x v="5"/>
          </reference>
          <reference field="18" count="1">
            <x v="44"/>
          </reference>
          <reference field="19" count="1" selected="0">
            <x v="2"/>
          </reference>
        </references>
      </pivotArea>
    </format>
    <format dxfId="19">
      <pivotArea collapsedLevelsAreSubtotals="1" fieldPosition="0">
        <references count="3">
          <reference field="4294967294" count="1" selected="0">
            <x v="5"/>
          </reference>
          <reference field="18" count="1">
            <x v="45"/>
          </reference>
          <reference field="19" count="1" selected="0">
            <x v="2"/>
          </reference>
        </references>
      </pivotArea>
    </format>
    <format dxfId="18">
      <pivotArea dataOnly="0" labelOnly="1" outline="0" fieldPosition="0">
        <references count="1">
          <reference field="4294967294" count="1">
            <x v="5"/>
          </reference>
        </references>
      </pivotArea>
    </format>
    <format dxfId="17">
      <pivotArea dataOnly="0" labelOnly="1" outline="0" fieldPosition="0">
        <references count="1">
          <reference field="4294967294" count="1">
            <x v="4"/>
          </reference>
        </references>
      </pivotArea>
    </format>
    <format dxfId="16">
      <pivotArea dataOnly="0" labelOnly="1" outline="0" fieldPosition="0">
        <references count="1">
          <reference field="4294967294" count="1">
            <x v="2"/>
          </reference>
        </references>
      </pivotArea>
    </format>
    <format dxfId="15">
      <pivotArea dataOnly="0" labelOnly="1" outline="0" fieldPosition="0">
        <references count="1">
          <reference field="4294967294" count="1">
            <x v="0"/>
          </reference>
        </references>
      </pivotArea>
    </format>
  </formats>
  <conditionalFormats count="11">
    <conditionalFormat priority="1">
      <pivotAreas count="19">
        <pivotArea type="data" collapsedLevelsAreSubtotals="1" fieldPosition="0">
          <references count="3">
            <reference field="4294967294" count="1" selected="0">
              <x v="4"/>
            </reference>
            <reference field="18" count="1">
              <x v="28"/>
            </reference>
            <reference field="19" count="1" selected="0">
              <x v="1"/>
            </reference>
          </references>
        </pivotArea>
        <pivotArea type="data" collapsedLevelsAreSubtotals="1" fieldPosition="0">
          <references count="3">
            <reference field="4294967294" count="1" selected="0">
              <x v="4"/>
            </reference>
            <reference field="18" count="1">
              <x v="29"/>
            </reference>
            <reference field="19" count="1" selected="0">
              <x v="1"/>
            </reference>
          </references>
        </pivotArea>
        <pivotArea type="data" collapsedLevelsAreSubtotals="1" fieldPosition="0">
          <references count="3">
            <reference field="4294967294" count="1" selected="0">
              <x v="4"/>
            </reference>
            <reference field="18" count="1">
              <x v="30"/>
            </reference>
            <reference field="19" count="1" selected="0">
              <x v="1"/>
            </reference>
          </references>
        </pivotArea>
        <pivotArea type="data" collapsedLevelsAreSubtotals="1" fieldPosition="0">
          <references count="3">
            <reference field="4294967294" count="1" selected="0">
              <x v="4"/>
            </reference>
            <reference field="18" count="1">
              <x v="31"/>
            </reference>
            <reference field="19" count="1" selected="0">
              <x v="1"/>
            </reference>
          </references>
        </pivotArea>
        <pivotArea type="data" collapsedLevelsAreSubtotals="1" fieldPosition="0">
          <references count="2">
            <reference field="4294967294" count="1" selected="0">
              <x v="4"/>
            </reference>
            <reference field="19" count="1">
              <x v="2"/>
            </reference>
          </references>
        </pivotArea>
        <pivotArea type="data" collapsedLevelsAreSubtotals="1" fieldPosition="0">
          <references count="3">
            <reference field="4294967294" count="1" selected="0">
              <x v="4"/>
            </reference>
            <reference field="18" count="1">
              <x v="32"/>
            </reference>
            <reference field="19" count="1" selected="0">
              <x v="2"/>
            </reference>
          </references>
        </pivotArea>
        <pivotArea type="data" collapsedLevelsAreSubtotals="1" fieldPosition="0">
          <references count="3">
            <reference field="4294967294" count="1" selected="0">
              <x v="4"/>
            </reference>
            <reference field="18" count="1">
              <x v="33"/>
            </reference>
            <reference field="19" count="1" selected="0">
              <x v="2"/>
            </reference>
          </references>
        </pivotArea>
        <pivotArea type="data" collapsedLevelsAreSubtotals="1" fieldPosition="0">
          <references count="3">
            <reference field="4294967294" count="1" selected="0">
              <x v="4"/>
            </reference>
            <reference field="18" count="1">
              <x v="34"/>
            </reference>
            <reference field="19" count="1" selected="0">
              <x v="2"/>
            </reference>
          </references>
        </pivotArea>
        <pivotArea type="data" collapsedLevelsAreSubtotals="1" fieldPosition="0">
          <references count="3">
            <reference field="4294967294" count="1" selected="0">
              <x v="4"/>
            </reference>
            <reference field="18" count="1">
              <x v="35"/>
            </reference>
            <reference field="19" count="1" selected="0">
              <x v="2"/>
            </reference>
          </references>
        </pivotArea>
        <pivotArea type="data" collapsedLevelsAreSubtotals="1" fieldPosition="0">
          <references count="3">
            <reference field="4294967294" count="1" selected="0">
              <x v="4"/>
            </reference>
            <reference field="18" count="1">
              <x v="36"/>
            </reference>
            <reference field="19" count="1" selected="0">
              <x v="2"/>
            </reference>
          </references>
        </pivotArea>
        <pivotArea type="data" collapsedLevelsAreSubtotals="1" fieldPosition="0">
          <references count="3">
            <reference field="4294967294" count="1" selected="0">
              <x v="4"/>
            </reference>
            <reference field="18" count="1">
              <x v="37"/>
            </reference>
            <reference field="19" count="1" selected="0">
              <x v="2"/>
            </reference>
          </references>
        </pivotArea>
        <pivotArea type="data" collapsedLevelsAreSubtotals="1" fieldPosition="0">
          <references count="3">
            <reference field="4294967294" count="1" selected="0">
              <x v="4"/>
            </reference>
            <reference field="18" count="1">
              <x v="38"/>
            </reference>
            <reference field="19" count="1" selected="0">
              <x v="2"/>
            </reference>
          </references>
        </pivotArea>
        <pivotArea type="data" collapsedLevelsAreSubtotals="1" fieldPosition="0">
          <references count="3">
            <reference field="4294967294" count="1" selected="0">
              <x v="4"/>
            </reference>
            <reference field="18" count="1">
              <x v="39"/>
            </reference>
            <reference field="19" count="1" selected="0">
              <x v="2"/>
            </reference>
          </references>
        </pivotArea>
        <pivotArea type="data" collapsedLevelsAreSubtotals="1" fieldPosition="0">
          <references count="3">
            <reference field="4294967294" count="1" selected="0">
              <x v="4"/>
            </reference>
            <reference field="18" count="1">
              <x v="40"/>
            </reference>
            <reference field="19" count="1" selected="0">
              <x v="2"/>
            </reference>
          </references>
        </pivotArea>
        <pivotArea type="data" collapsedLevelsAreSubtotals="1" fieldPosition="0">
          <references count="3">
            <reference field="4294967294" count="1" selected="0">
              <x v="4"/>
            </reference>
            <reference field="18" count="1">
              <x v="41"/>
            </reference>
            <reference field="19" count="1" selected="0">
              <x v="2"/>
            </reference>
          </references>
        </pivotArea>
        <pivotArea type="data" collapsedLevelsAreSubtotals="1" fieldPosition="0">
          <references count="3">
            <reference field="4294967294" count="1" selected="0">
              <x v="4"/>
            </reference>
            <reference field="18" count="1">
              <x v="42"/>
            </reference>
            <reference field="19" count="1" selected="0">
              <x v="2"/>
            </reference>
          </references>
        </pivotArea>
        <pivotArea type="data" collapsedLevelsAreSubtotals="1" fieldPosition="0">
          <references count="3">
            <reference field="4294967294" count="1" selected="0">
              <x v="4"/>
            </reference>
            <reference field="18" count="1">
              <x v="43"/>
            </reference>
            <reference field="19" count="1" selected="0">
              <x v="2"/>
            </reference>
          </references>
        </pivotArea>
        <pivotArea type="data" collapsedLevelsAreSubtotals="1" fieldPosition="0">
          <references count="3">
            <reference field="4294967294" count="1" selected="0">
              <x v="4"/>
            </reference>
            <reference field="18" count="1">
              <x v="44"/>
            </reference>
            <reference field="19" count="1" selected="0">
              <x v="2"/>
            </reference>
          </references>
        </pivotArea>
        <pivotArea type="data" collapsedLevelsAreSubtotals="1" fieldPosition="0">
          <references count="3">
            <reference field="4294967294" count="1" selected="0">
              <x v="4"/>
            </reference>
            <reference field="18" count="1">
              <x v="45"/>
            </reference>
            <reference field="19" count="1" selected="0">
              <x v="2"/>
            </reference>
          </references>
        </pivotArea>
      </pivotAreas>
    </conditionalFormat>
    <conditionalFormat priority="2">
      <pivotAreas count="19">
        <pivotArea type="data" collapsedLevelsAreSubtotals="1" fieldPosition="0">
          <references count="3">
            <reference field="4294967294" count="1" selected="0">
              <x v="4"/>
            </reference>
            <reference field="18" count="1">
              <x v="28"/>
            </reference>
            <reference field="19" count="1" selected="0">
              <x v="1"/>
            </reference>
          </references>
        </pivotArea>
        <pivotArea type="data" collapsedLevelsAreSubtotals="1" fieldPosition="0">
          <references count="3">
            <reference field="4294967294" count="1" selected="0">
              <x v="4"/>
            </reference>
            <reference field="18" count="1">
              <x v="29"/>
            </reference>
            <reference field="19" count="1" selected="0">
              <x v="1"/>
            </reference>
          </references>
        </pivotArea>
        <pivotArea type="data" collapsedLevelsAreSubtotals="1" fieldPosition="0">
          <references count="3">
            <reference field="4294967294" count="1" selected="0">
              <x v="4"/>
            </reference>
            <reference field="18" count="1">
              <x v="30"/>
            </reference>
            <reference field="19" count="1" selected="0">
              <x v="1"/>
            </reference>
          </references>
        </pivotArea>
        <pivotArea type="data" collapsedLevelsAreSubtotals="1" fieldPosition="0">
          <references count="3">
            <reference field="4294967294" count="1" selected="0">
              <x v="4"/>
            </reference>
            <reference field="18" count="1">
              <x v="31"/>
            </reference>
            <reference field="19" count="1" selected="0">
              <x v="1"/>
            </reference>
          </references>
        </pivotArea>
        <pivotArea type="data" collapsedLevelsAreSubtotals="1" fieldPosition="0">
          <references count="2">
            <reference field="4294967294" count="1" selected="0">
              <x v="4"/>
            </reference>
            <reference field="19" count="1">
              <x v="2"/>
            </reference>
          </references>
        </pivotArea>
        <pivotArea type="data" collapsedLevelsAreSubtotals="1" fieldPosition="0">
          <references count="3">
            <reference field="4294967294" count="1" selected="0">
              <x v="4"/>
            </reference>
            <reference field="18" count="1">
              <x v="32"/>
            </reference>
            <reference field="19" count="1" selected="0">
              <x v="2"/>
            </reference>
          </references>
        </pivotArea>
        <pivotArea type="data" collapsedLevelsAreSubtotals="1" fieldPosition="0">
          <references count="3">
            <reference field="4294967294" count="1" selected="0">
              <x v="4"/>
            </reference>
            <reference field="18" count="1">
              <x v="33"/>
            </reference>
            <reference field="19" count="1" selected="0">
              <x v="2"/>
            </reference>
          </references>
        </pivotArea>
        <pivotArea type="data" collapsedLevelsAreSubtotals="1" fieldPosition="0">
          <references count="3">
            <reference field="4294967294" count="1" selected="0">
              <x v="4"/>
            </reference>
            <reference field="18" count="1">
              <x v="34"/>
            </reference>
            <reference field="19" count="1" selected="0">
              <x v="2"/>
            </reference>
          </references>
        </pivotArea>
        <pivotArea type="data" collapsedLevelsAreSubtotals="1" fieldPosition="0">
          <references count="3">
            <reference field="4294967294" count="1" selected="0">
              <x v="4"/>
            </reference>
            <reference field="18" count="1">
              <x v="35"/>
            </reference>
            <reference field="19" count="1" selected="0">
              <x v="2"/>
            </reference>
          </references>
        </pivotArea>
        <pivotArea type="data" collapsedLevelsAreSubtotals="1" fieldPosition="0">
          <references count="3">
            <reference field="4294967294" count="1" selected="0">
              <x v="4"/>
            </reference>
            <reference field="18" count="1">
              <x v="36"/>
            </reference>
            <reference field="19" count="1" selected="0">
              <x v="2"/>
            </reference>
          </references>
        </pivotArea>
        <pivotArea type="data" collapsedLevelsAreSubtotals="1" fieldPosition="0">
          <references count="3">
            <reference field="4294967294" count="1" selected="0">
              <x v="4"/>
            </reference>
            <reference field="18" count="1">
              <x v="37"/>
            </reference>
            <reference field="19" count="1" selected="0">
              <x v="2"/>
            </reference>
          </references>
        </pivotArea>
        <pivotArea type="data" collapsedLevelsAreSubtotals="1" fieldPosition="0">
          <references count="3">
            <reference field="4294967294" count="1" selected="0">
              <x v="4"/>
            </reference>
            <reference field="18" count="1">
              <x v="38"/>
            </reference>
            <reference field="19" count="1" selected="0">
              <x v="2"/>
            </reference>
          </references>
        </pivotArea>
        <pivotArea type="data" collapsedLevelsAreSubtotals="1" fieldPosition="0">
          <references count="3">
            <reference field="4294967294" count="1" selected="0">
              <x v="4"/>
            </reference>
            <reference field="18" count="1">
              <x v="39"/>
            </reference>
            <reference field="19" count="1" selected="0">
              <x v="2"/>
            </reference>
          </references>
        </pivotArea>
        <pivotArea type="data" collapsedLevelsAreSubtotals="1" fieldPosition="0">
          <references count="3">
            <reference field="4294967294" count="1" selected="0">
              <x v="4"/>
            </reference>
            <reference field="18" count="1">
              <x v="40"/>
            </reference>
            <reference field="19" count="1" selected="0">
              <x v="2"/>
            </reference>
          </references>
        </pivotArea>
        <pivotArea type="data" collapsedLevelsAreSubtotals="1" fieldPosition="0">
          <references count="3">
            <reference field="4294967294" count="1" selected="0">
              <x v="4"/>
            </reference>
            <reference field="18" count="1">
              <x v="41"/>
            </reference>
            <reference field="19" count="1" selected="0">
              <x v="2"/>
            </reference>
          </references>
        </pivotArea>
        <pivotArea type="data" collapsedLevelsAreSubtotals="1" fieldPosition="0">
          <references count="3">
            <reference field="4294967294" count="1" selected="0">
              <x v="4"/>
            </reference>
            <reference field="18" count="1">
              <x v="42"/>
            </reference>
            <reference field="19" count="1" selected="0">
              <x v="2"/>
            </reference>
          </references>
        </pivotArea>
        <pivotArea type="data" collapsedLevelsAreSubtotals="1" fieldPosition="0">
          <references count="3">
            <reference field="4294967294" count="1" selected="0">
              <x v="4"/>
            </reference>
            <reference field="18" count="1">
              <x v="43"/>
            </reference>
            <reference field="19" count="1" selected="0">
              <x v="2"/>
            </reference>
          </references>
        </pivotArea>
        <pivotArea type="data" collapsedLevelsAreSubtotals="1" fieldPosition="0">
          <references count="3">
            <reference field="4294967294" count="1" selected="0">
              <x v="4"/>
            </reference>
            <reference field="18" count="1">
              <x v="44"/>
            </reference>
            <reference field="19" count="1" selected="0">
              <x v="2"/>
            </reference>
          </references>
        </pivotArea>
        <pivotArea type="data" collapsedLevelsAreSubtotals="1" fieldPosition="0">
          <references count="3">
            <reference field="4294967294" count="1" selected="0">
              <x v="4"/>
            </reference>
            <reference field="18" count="1">
              <x v="45"/>
            </reference>
            <reference field="19" count="1" selected="0">
              <x v="2"/>
            </reference>
          </references>
        </pivotArea>
      </pivotAreas>
    </conditionalFormat>
    <conditionalFormat priority="3">
      <pivotAreas count="19">
        <pivotArea type="data" collapsedLevelsAreSubtotals="1" fieldPosition="0">
          <references count="3">
            <reference field="4294967294" count="1" selected="0">
              <x v="4"/>
            </reference>
            <reference field="18" count="1">
              <x v="28"/>
            </reference>
            <reference field="19" count="1" selected="0">
              <x v="1"/>
            </reference>
          </references>
        </pivotArea>
        <pivotArea type="data" collapsedLevelsAreSubtotals="1" fieldPosition="0">
          <references count="3">
            <reference field="4294967294" count="1" selected="0">
              <x v="4"/>
            </reference>
            <reference field="18" count="1">
              <x v="29"/>
            </reference>
            <reference field="19" count="1" selected="0">
              <x v="1"/>
            </reference>
          </references>
        </pivotArea>
        <pivotArea type="data" collapsedLevelsAreSubtotals="1" fieldPosition="0">
          <references count="3">
            <reference field="4294967294" count="1" selected="0">
              <x v="4"/>
            </reference>
            <reference field="18" count="1">
              <x v="30"/>
            </reference>
            <reference field="19" count="1" selected="0">
              <x v="1"/>
            </reference>
          </references>
        </pivotArea>
        <pivotArea type="data" collapsedLevelsAreSubtotals="1" fieldPosition="0">
          <references count="3">
            <reference field="4294967294" count="1" selected="0">
              <x v="4"/>
            </reference>
            <reference field="18" count="1">
              <x v="31"/>
            </reference>
            <reference field="19" count="1" selected="0">
              <x v="1"/>
            </reference>
          </references>
        </pivotArea>
        <pivotArea type="data" collapsedLevelsAreSubtotals="1" fieldPosition="0">
          <references count="2">
            <reference field="4294967294" count="1" selected="0">
              <x v="4"/>
            </reference>
            <reference field="19" count="1">
              <x v="2"/>
            </reference>
          </references>
        </pivotArea>
        <pivotArea type="data" collapsedLevelsAreSubtotals="1" fieldPosition="0">
          <references count="3">
            <reference field="4294967294" count="1" selected="0">
              <x v="4"/>
            </reference>
            <reference field="18" count="1">
              <x v="32"/>
            </reference>
            <reference field="19" count="1" selected="0">
              <x v="2"/>
            </reference>
          </references>
        </pivotArea>
        <pivotArea type="data" collapsedLevelsAreSubtotals="1" fieldPosition="0">
          <references count="3">
            <reference field="4294967294" count="1" selected="0">
              <x v="4"/>
            </reference>
            <reference field="18" count="1">
              <x v="33"/>
            </reference>
            <reference field="19" count="1" selected="0">
              <x v="2"/>
            </reference>
          </references>
        </pivotArea>
        <pivotArea type="data" collapsedLevelsAreSubtotals="1" fieldPosition="0">
          <references count="3">
            <reference field="4294967294" count="1" selected="0">
              <x v="4"/>
            </reference>
            <reference field="18" count="1">
              <x v="34"/>
            </reference>
            <reference field="19" count="1" selected="0">
              <x v="2"/>
            </reference>
          </references>
        </pivotArea>
        <pivotArea type="data" collapsedLevelsAreSubtotals="1" fieldPosition="0">
          <references count="3">
            <reference field="4294967294" count="1" selected="0">
              <x v="4"/>
            </reference>
            <reference field="18" count="1">
              <x v="35"/>
            </reference>
            <reference field="19" count="1" selected="0">
              <x v="2"/>
            </reference>
          </references>
        </pivotArea>
        <pivotArea type="data" collapsedLevelsAreSubtotals="1" fieldPosition="0">
          <references count="3">
            <reference field="4294967294" count="1" selected="0">
              <x v="4"/>
            </reference>
            <reference field="18" count="1">
              <x v="36"/>
            </reference>
            <reference field="19" count="1" selected="0">
              <x v="2"/>
            </reference>
          </references>
        </pivotArea>
        <pivotArea type="data" collapsedLevelsAreSubtotals="1" fieldPosition="0">
          <references count="3">
            <reference field="4294967294" count="1" selected="0">
              <x v="4"/>
            </reference>
            <reference field="18" count="1">
              <x v="37"/>
            </reference>
            <reference field="19" count="1" selected="0">
              <x v="2"/>
            </reference>
          </references>
        </pivotArea>
        <pivotArea type="data" collapsedLevelsAreSubtotals="1" fieldPosition="0">
          <references count="3">
            <reference field="4294967294" count="1" selected="0">
              <x v="4"/>
            </reference>
            <reference field="18" count="1">
              <x v="38"/>
            </reference>
            <reference field="19" count="1" selected="0">
              <x v="2"/>
            </reference>
          </references>
        </pivotArea>
        <pivotArea type="data" collapsedLevelsAreSubtotals="1" fieldPosition="0">
          <references count="3">
            <reference field="4294967294" count="1" selected="0">
              <x v="4"/>
            </reference>
            <reference field="18" count="1">
              <x v="39"/>
            </reference>
            <reference field="19" count="1" selected="0">
              <x v="2"/>
            </reference>
          </references>
        </pivotArea>
        <pivotArea type="data" collapsedLevelsAreSubtotals="1" fieldPosition="0">
          <references count="3">
            <reference field="4294967294" count="1" selected="0">
              <x v="4"/>
            </reference>
            <reference field="18" count="1">
              <x v="40"/>
            </reference>
            <reference field="19" count="1" selected="0">
              <x v="2"/>
            </reference>
          </references>
        </pivotArea>
        <pivotArea type="data" collapsedLevelsAreSubtotals="1" fieldPosition="0">
          <references count="3">
            <reference field="4294967294" count="1" selected="0">
              <x v="4"/>
            </reference>
            <reference field="18" count="1">
              <x v="41"/>
            </reference>
            <reference field="19" count="1" selected="0">
              <x v="2"/>
            </reference>
          </references>
        </pivotArea>
        <pivotArea type="data" collapsedLevelsAreSubtotals="1" fieldPosition="0">
          <references count="3">
            <reference field="4294967294" count="1" selected="0">
              <x v="4"/>
            </reference>
            <reference field="18" count="1">
              <x v="42"/>
            </reference>
            <reference field="19" count="1" selected="0">
              <x v="2"/>
            </reference>
          </references>
        </pivotArea>
        <pivotArea type="data" collapsedLevelsAreSubtotals="1" fieldPosition="0">
          <references count="3">
            <reference field="4294967294" count="1" selected="0">
              <x v="4"/>
            </reference>
            <reference field="18" count="1">
              <x v="43"/>
            </reference>
            <reference field="19" count="1" selected="0">
              <x v="2"/>
            </reference>
          </references>
        </pivotArea>
        <pivotArea type="data" collapsedLevelsAreSubtotals="1" fieldPosition="0">
          <references count="3">
            <reference field="4294967294" count="1" selected="0">
              <x v="4"/>
            </reference>
            <reference field="18" count="1">
              <x v="44"/>
            </reference>
            <reference field="19" count="1" selected="0">
              <x v="2"/>
            </reference>
          </references>
        </pivotArea>
        <pivotArea type="data" collapsedLevelsAreSubtotals="1" fieldPosition="0">
          <references count="3">
            <reference field="4294967294" count="1" selected="0">
              <x v="4"/>
            </reference>
            <reference field="18" count="1">
              <x v="45"/>
            </reference>
            <reference field="19" count="1" selected="0">
              <x v="2"/>
            </reference>
          </references>
        </pivotArea>
      </pivotAreas>
    </conditionalFormat>
    <conditionalFormat priority="4">
      <pivotAreas count="19">
        <pivotArea type="data" collapsedLevelsAreSubtotals="1" fieldPosition="0">
          <references count="3">
            <reference field="4294967294" count="1" selected="0">
              <x v="2"/>
            </reference>
            <reference field="18" count="1">
              <x v="28"/>
            </reference>
            <reference field="19" count="1" selected="0">
              <x v="1"/>
            </reference>
          </references>
        </pivotArea>
        <pivotArea type="data" collapsedLevelsAreSubtotals="1" fieldPosition="0">
          <references count="3">
            <reference field="4294967294" count="1" selected="0">
              <x v="2"/>
            </reference>
            <reference field="18" count="1">
              <x v="29"/>
            </reference>
            <reference field="19" count="1" selected="0">
              <x v="1"/>
            </reference>
          </references>
        </pivotArea>
        <pivotArea type="data" collapsedLevelsAreSubtotals="1" fieldPosition="0">
          <references count="3">
            <reference field="4294967294" count="1" selected="0">
              <x v="2"/>
            </reference>
            <reference field="18" count="1">
              <x v="30"/>
            </reference>
            <reference field="19" count="1" selected="0">
              <x v="1"/>
            </reference>
          </references>
        </pivotArea>
        <pivotArea type="data" collapsedLevelsAreSubtotals="1" fieldPosition="0">
          <references count="3">
            <reference field="4294967294" count="1" selected="0">
              <x v="2"/>
            </reference>
            <reference field="18" count="1">
              <x v="31"/>
            </reference>
            <reference field="19" count="1" selected="0">
              <x v="1"/>
            </reference>
          </references>
        </pivotArea>
        <pivotArea type="data" collapsedLevelsAreSubtotals="1" fieldPosition="0">
          <references count="2">
            <reference field="4294967294" count="1" selected="0">
              <x v="2"/>
            </reference>
            <reference field="19" count="1">
              <x v="2"/>
            </reference>
          </references>
        </pivotArea>
        <pivotArea type="data" collapsedLevelsAreSubtotals="1" fieldPosition="0">
          <references count="3">
            <reference field="4294967294" count="1" selected="0">
              <x v="2"/>
            </reference>
            <reference field="18" count="1">
              <x v="32"/>
            </reference>
            <reference field="19" count="1" selected="0">
              <x v="2"/>
            </reference>
          </references>
        </pivotArea>
        <pivotArea type="data" collapsedLevelsAreSubtotals="1" fieldPosition="0">
          <references count="3">
            <reference field="4294967294" count="1" selected="0">
              <x v="2"/>
            </reference>
            <reference field="18" count="1">
              <x v="33"/>
            </reference>
            <reference field="19" count="1" selected="0">
              <x v="2"/>
            </reference>
          </references>
        </pivotArea>
        <pivotArea type="data" collapsedLevelsAreSubtotals="1" fieldPosition="0">
          <references count="3">
            <reference field="4294967294" count="1" selected="0">
              <x v="2"/>
            </reference>
            <reference field="18" count="1">
              <x v="34"/>
            </reference>
            <reference field="19" count="1" selected="0">
              <x v="2"/>
            </reference>
          </references>
        </pivotArea>
        <pivotArea type="data" collapsedLevelsAreSubtotals="1" fieldPosition="0">
          <references count="3">
            <reference field="4294967294" count="1" selected="0">
              <x v="2"/>
            </reference>
            <reference field="18" count="1">
              <x v="35"/>
            </reference>
            <reference field="19" count="1" selected="0">
              <x v="2"/>
            </reference>
          </references>
        </pivotArea>
        <pivotArea type="data" collapsedLevelsAreSubtotals="1" fieldPosition="0">
          <references count="3">
            <reference field="4294967294" count="1" selected="0">
              <x v="2"/>
            </reference>
            <reference field="18" count="1">
              <x v="36"/>
            </reference>
            <reference field="19" count="1" selected="0">
              <x v="2"/>
            </reference>
          </references>
        </pivotArea>
        <pivotArea type="data" collapsedLevelsAreSubtotals="1" fieldPosition="0">
          <references count="3">
            <reference field="4294967294" count="1" selected="0">
              <x v="2"/>
            </reference>
            <reference field="18" count="1">
              <x v="37"/>
            </reference>
            <reference field="19" count="1" selected="0">
              <x v="2"/>
            </reference>
          </references>
        </pivotArea>
        <pivotArea type="data" collapsedLevelsAreSubtotals="1" fieldPosition="0">
          <references count="3">
            <reference field="4294967294" count="1" selected="0">
              <x v="2"/>
            </reference>
            <reference field="18" count="1">
              <x v="38"/>
            </reference>
            <reference field="19" count="1" selected="0">
              <x v="2"/>
            </reference>
          </references>
        </pivotArea>
        <pivotArea type="data" collapsedLevelsAreSubtotals="1" fieldPosition="0">
          <references count="3">
            <reference field="4294967294" count="1" selected="0">
              <x v="2"/>
            </reference>
            <reference field="18" count="1">
              <x v="39"/>
            </reference>
            <reference field="19" count="1" selected="0">
              <x v="2"/>
            </reference>
          </references>
        </pivotArea>
        <pivotArea type="data" collapsedLevelsAreSubtotals="1" fieldPosition="0">
          <references count="3">
            <reference field="4294967294" count="1" selected="0">
              <x v="2"/>
            </reference>
            <reference field="18" count="1">
              <x v="40"/>
            </reference>
            <reference field="19" count="1" selected="0">
              <x v="2"/>
            </reference>
          </references>
        </pivotArea>
        <pivotArea type="data" collapsedLevelsAreSubtotals="1" fieldPosition="0">
          <references count="3">
            <reference field="4294967294" count="1" selected="0">
              <x v="2"/>
            </reference>
            <reference field="18" count="1">
              <x v="41"/>
            </reference>
            <reference field="19" count="1" selected="0">
              <x v="2"/>
            </reference>
          </references>
        </pivotArea>
        <pivotArea type="data" collapsedLevelsAreSubtotals="1" fieldPosition="0">
          <references count="3">
            <reference field="4294967294" count="1" selected="0">
              <x v="2"/>
            </reference>
            <reference field="18" count="1">
              <x v="42"/>
            </reference>
            <reference field="19" count="1" selected="0">
              <x v="2"/>
            </reference>
          </references>
        </pivotArea>
        <pivotArea type="data" collapsedLevelsAreSubtotals="1" fieldPosition="0">
          <references count="3">
            <reference field="4294967294" count="1" selected="0">
              <x v="2"/>
            </reference>
            <reference field="18" count="1">
              <x v="43"/>
            </reference>
            <reference field="19" count="1" selected="0">
              <x v="2"/>
            </reference>
          </references>
        </pivotArea>
        <pivotArea type="data" collapsedLevelsAreSubtotals="1" fieldPosition="0">
          <references count="3">
            <reference field="4294967294" count="1" selected="0">
              <x v="2"/>
            </reference>
            <reference field="18" count="1">
              <x v="44"/>
            </reference>
            <reference field="19" count="1" selected="0">
              <x v="2"/>
            </reference>
          </references>
        </pivotArea>
        <pivotArea type="data" collapsedLevelsAreSubtotals="1" fieldPosition="0">
          <references count="3">
            <reference field="4294967294" count="1" selected="0">
              <x v="2"/>
            </reference>
            <reference field="18" count="1">
              <x v="45"/>
            </reference>
            <reference field="19" count="1" selected="0">
              <x v="2"/>
            </reference>
          </references>
        </pivotArea>
      </pivotAreas>
    </conditionalFormat>
    <conditionalFormat priority="5">
      <pivotAreas count="19">
        <pivotArea type="data" collapsedLevelsAreSubtotals="1" fieldPosition="0">
          <references count="3">
            <reference field="4294967294" count="1" selected="0">
              <x v="2"/>
            </reference>
            <reference field="18" count="1">
              <x v="28"/>
            </reference>
            <reference field="19" count="1" selected="0">
              <x v="1"/>
            </reference>
          </references>
        </pivotArea>
        <pivotArea type="data" collapsedLevelsAreSubtotals="1" fieldPosition="0">
          <references count="3">
            <reference field="4294967294" count="1" selected="0">
              <x v="2"/>
            </reference>
            <reference field="18" count="1">
              <x v="29"/>
            </reference>
            <reference field="19" count="1" selected="0">
              <x v="1"/>
            </reference>
          </references>
        </pivotArea>
        <pivotArea type="data" collapsedLevelsAreSubtotals="1" fieldPosition="0">
          <references count="3">
            <reference field="4294967294" count="1" selected="0">
              <x v="2"/>
            </reference>
            <reference field="18" count="1">
              <x v="30"/>
            </reference>
            <reference field="19" count="1" selected="0">
              <x v="1"/>
            </reference>
          </references>
        </pivotArea>
        <pivotArea type="data" collapsedLevelsAreSubtotals="1" fieldPosition="0">
          <references count="3">
            <reference field="4294967294" count="1" selected="0">
              <x v="2"/>
            </reference>
            <reference field="18" count="1">
              <x v="31"/>
            </reference>
            <reference field="19" count="1" selected="0">
              <x v="1"/>
            </reference>
          </references>
        </pivotArea>
        <pivotArea type="data" collapsedLevelsAreSubtotals="1" fieldPosition="0">
          <references count="2">
            <reference field="4294967294" count="1" selected="0">
              <x v="2"/>
            </reference>
            <reference field="19" count="1">
              <x v="2"/>
            </reference>
          </references>
        </pivotArea>
        <pivotArea type="data" collapsedLevelsAreSubtotals="1" fieldPosition="0">
          <references count="3">
            <reference field="4294967294" count="1" selected="0">
              <x v="2"/>
            </reference>
            <reference field="18" count="1">
              <x v="32"/>
            </reference>
            <reference field="19" count="1" selected="0">
              <x v="2"/>
            </reference>
          </references>
        </pivotArea>
        <pivotArea type="data" collapsedLevelsAreSubtotals="1" fieldPosition="0">
          <references count="3">
            <reference field="4294967294" count="1" selected="0">
              <x v="2"/>
            </reference>
            <reference field="18" count="1">
              <x v="33"/>
            </reference>
            <reference field="19" count="1" selected="0">
              <x v="2"/>
            </reference>
          </references>
        </pivotArea>
        <pivotArea type="data" collapsedLevelsAreSubtotals="1" fieldPosition="0">
          <references count="3">
            <reference field="4294967294" count="1" selected="0">
              <x v="2"/>
            </reference>
            <reference field="18" count="1">
              <x v="34"/>
            </reference>
            <reference field="19" count="1" selected="0">
              <x v="2"/>
            </reference>
          </references>
        </pivotArea>
        <pivotArea type="data" collapsedLevelsAreSubtotals="1" fieldPosition="0">
          <references count="3">
            <reference field="4294967294" count="1" selected="0">
              <x v="2"/>
            </reference>
            <reference field="18" count="1">
              <x v="35"/>
            </reference>
            <reference field="19" count="1" selected="0">
              <x v="2"/>
            </reference>
          </references>
        </pivotArea>
        <pivotArea type="data" collapsedLevelsAreSubtotals="1" fieldPosition="0">
          <references count="3">
            <reference field="4294967294" count="1" selected="0">
              <x v="2"/>
            </reference>
            <reference field="18" count="1">
              <x v="36"/>
            </reference>
            <reference field="19" count="1" selected="0">
              <x v="2"/>
            </reference>
          </references>
        </pivotArea>
        <pivotArea type="data" collapsedLevelsAreSubtotals="1" fieldPosition="0">
          <references count="3">
            <reference field="4294967294" count="1" selected="0">
              <x v="2"/>
            </reference>
            <reference field="18" count="1">
              <x v="37"/>
            </reference>
            <reference field="19" count="1" selected="0">
              <x v="2"/>
            </reference>
          </references>
        </pivotArea>
        <pivotArea type="data" collapsedLevelsAreSubtotals="1" fieldPosition="0">
          <references count="3">
            <reference field="4294967294" count="1" selected="0">
              <x v="2"/>
            </reference>
            <reference field="18" count="1">
              <x v="38"/>
            </reference>
            <reference field="19" count="1" selected="0">
              <x v="2"/>
            </reference>
          </references>
        </pivotArea>
        <pivotArea type="data" collapsedLevelsAreSubtotals="1" fieldPosition="0">
          <references count="3">
            <reference field="4294967294" count="1" selected="0">
              <x v="2"/>
            </reference>
            <reference field="18" count="1">
              <x v="39"/>
            </reference>
            <reference field="19" count="1" selected="0">
              <x v="2"/>
            </reference>
          </references>
        </pivotArea>
        <pivotArea type="data" collapsedLevelsAreSubtotals="1" fieldPosition="0">
          <references count="3">
            <reference field="4294967294" count="1" selected="0">
              <x v="2"/>
            </reference>
            <reference field="18" count="1">
              <x v="40"/>
            </reference>
            <reference field="19" count="1" selected="0">
              <x v="2"/>
            </reference>
          </references>
        </pivotArea>
        <pivotArea type="data" collapsedLevelsAreSubtotals="1" fieldPosition="0">
          <references count="3">
            <reference field="4294967294" count="1" selected="0">
              <x v="2"/>
            </reference>
            <reference field="18" count="1">
              <x v="41"/>
            </reference>
            <reference field="19" count="1" selected="0">
              <x v="2"/>
            </reference>
          </references>
        </pivotArea>
        <pivotArea type="data" collapsedLevelsAreSubtotals="1" fieldPosition="0">
          <references count="3">
            <reference field="4294967294" count="1" selected="0">
              <x v="2"/>
            </reference>
            <reference field="18" count="1">
              <x v="42"/>
            </reference>
            <reference field="19" count="1" selected="0">
              <x v="2"/>
            </reference>
          </references>
        </pivotArea>
        <pivotArea type="data" collapsedLevelsAreSubtotals="1" fieldPosition="0">
          <references count="3">
            <reference field="4294967294" count="1" selected="0">
              <x v="2"/>
            </reference>
            <reference field="18" count="1">
              <x v="43"/>
            </reference>
            <reference field="19" count="1" selected="0">
              <x v="2"/>
            </reference>
          </references>
        </pivotArea>
        <pivotArea type="data" collapsedLevelsAreSubtotals="1" fieldPosition="0">
          <references count="3">
            <reference field="4294967294" count="1" selected="0">
              <x v="2"/>
            </reference>
            <reference field="18" count="1">
              <x v="44"/>
            </reference>
            <reference field="19" count="1" selected="0">
              <x v="2"/>
            </reference>
          </references>
        </pivotArea>
        <pivotArea type="data" collapsedLevelsAreSubtotals="1" fieldPosition="0">
          <references count="3">
            <reference field="4294967294" count="1" selected="0">
              <x v="2"/>
            </reference>
            <reference field="18" count="1">
              <x v="45"/>
            </reference>
            <reference field="19" count="1" selected="0">
              <x v="2"/>
            </reference>
          </references>
        </pivotArea>
      </pivotAreas>
    </conditionalFormat>
    <conditionalFormat priority="11">
      <pivotAreas count="19">
        <pivotArea type="data" collapsedLevelsAreSubtotals="1" fieldPosition="0">
          <references count="3">
            <reference field="4294967294" count="1" selected="0">
              <x v="4"/>
            </reference>
            <reference field="18" count="1">
              <x v="28"/>
            </reference>
            <reference field="19" count="1" selected="0">
              <x v="1"/>
            </reference>
          </references>
        </pivotArea>
        <pivotArea type="data" collapsedLevelsAreSubtotals="1" fieldPosition="0">
          <references count="3">
            <reference field="4294967294" count="1" selected="0">
              <x v="4"/>
            </reference>
            <reference field="18" count="1">
              <x v="29"/>
            </reference>
            <reference field="19" count="1" selected="0">
              <x v="1"/>
            </reference>
          </references>
        </pivotArea>
        <pivotArea type="data" collapsedLevelsAreSubtotals="1" fieldPosition="0">
          <references count="3">
            <reference field="4294967294" count="1" selected="0">
              <x v="4"/>
            </reference>
            <reference field="18" count="1">
              <x v="30"/>
            </reference>
            <reference field="19" count="1" selected="0">
              <x v="1"/>
            </reference>
          </references>
        </pivotArea>
        <pivotArea type="data" collapsedLevelsAreSubtotals="1" fieldPosition="0">
          <references count="3">
            <reference field="4294967294" count="1" selected="0">
              <x v="4"/>
            </reference>
            <reference field="18" count="1">
              <x v="31"/>
            </reference>
            <reference field="19" count="1" selected="0">
              <x v="1"/>
            </reference>
          </references>
        </pivotArea>
        <pivotArea type="data" collapsedLevelsAreSubtotals="1" fieldPosition="0">
          <references count="2">
            <reference field="4294967294" count="1" selected="0">
              <x v="4"/>
            </reference>
            <reference field="19" count="1">
              <x v="2"/>
            </reference>
          </references>
        </pivotArea>
        <pivotArea type="data" collapsedLevelsAreSubtotals="1" fieldPosition="0">
          <references count="3">
            <reference field="4294967294" count="1" selected="0">
              <x v="4"/>
            </reference>
            <reference field="18" count="1">
              <x v="32"/>
            </reference>
            <reference field="19" count="1" selected="0">
              <x v="2"/>
            </reference>
          </references>
        </pivotArea>
        <pivotArea type="data" collapsedLevelsAreSubtotals="1" fieldPosition="0">
          <references count="3">
            <reference field="4294967294" count="1" selected="0">
              <x v="4"/>
            </reference>
            <reference field="18" count="1">
              <x v="33"/>
            </reference>
            <reference field="19" count="1" selected="0">
              <x v="2"/>
            </reference>
          </references>
        </pivotArea>
        <pivotArea type="data" collapsedLevelsAreSubtotals="1" fieldPosition="0">
          <references count="3">
            <reference field="4294967294" count="1" selected="0">
              <x v="4"/>
            </reference>
            <reference field="18" count="1">
              <x v="34"/>
            </reference>
            <reference field="19" count="1" selected="0">
              <x v="2"/>
            </reference>
          </references>
        </pivotArea>
        <pivotArea type="data" collapsedLevelsAreSubtotals="1" fieldPosition="0">
          <references count="3">
            <reference field="4294967294" count="1" selected="0">
              <x v="4"/>
            </reference>
            <reference field="18" count="1">
              <x v="35"/>
            </reference>
            <reference field="19" count="1" selected="0">
              <x v="2"/>
            </reference>
          </references>
        </pivotArea>
        <pivotArea type="data" collapsedLevelsAreSubtotals="1" fieldPosition="0">
          <references count="3">
            <reference field="4294967294" count="1" selected="0">
              <x v="4"/>
            </reference>
            <reference field="18" count="1">
              <x v="36"/>
            </reference>
            <reference field="19" count="1" selected="0">
              <x v="2"/>
            </reference>
          </references>
        </pivotArea>
        <pivotArea type="data" collapsedLevelsAreSubtotals="1" fieldPosition="0">
          <references count="3">
            <reference field="4294967294" count="1" selected="0">
              <x v="4"/>
            </reference>
            <reference field="18" count="1">
              <x v="37"/>
            </reference>
            <reference field="19" count="1" selected="0">
              <x v="2"/>
            </reference>
          </references>
        </pivotArea>
        <pivotArea type="data" collapsedLevelsAreSubtotals="1" fieldPosition="0">
          <references count="3">
            <reference field="4294967294" count="1" selected="0">
              <x v="4"/>
            </reference>
            <reference field="18" count="1">
              <x v="38"/>
            </reference>
            <reference field="19" count="1" selected="0">
              <x v="2"/>
            </reference>
          </references>
        </pivotArea>
        <pivotArea type="data" collapsedLevelsAreSubtotals="1" fieldPosition="0">
          <references count="3">
            <reference field="4294967294" count="1" selected="0">
              <x v="4"/>
            </reference>
            <reference field="18" count="1">
              <x v="39"/>
            </reference>
            <reference field="19" count="1" selected="0">
              <x v="2"/>
            </reference>
          </references>
        </pivotArea>
        <pivotArea type="data" collapsedLevelsAreSubtotals="1" fieldPosition="0">
          <references count="3">
            <reference field="4294967294" count="1" selected="0">
              <x v="4"/>
            </reference>
            <reference field="18" count="1">
              <x v="40"/>
            </reference>
            <reference field="19" count="1" selected="0">
              <x v="2"/>
            </reference>
          </references>
        </pivotArea>
        <pivotArea type="data" collapsedLevelsAreSubtotals="1" fieldPosition="0">
          <references count="3">
            <reference field="4294967294" count="1" selected="0">
              <x v="4"/>
            </reference>
            <reference field="18" count="1">
              <x v="41"/>
            </reference>
            <reference field="19" count="1" selected="0">
              <x v="2"/>
            </reference>
          </references>
        </pivotArea>
        <pivotArea type="data" collapsedLevelsAreSubtotals="1" fieldPosition="0">
          <references count="3">
            <reference field="4294967294" count="1" selected="0">
              <x v="4"/>
            </reference>
            <reference field="18" count="1">
              <x v="42"/>
            </reference>
            <reference field="19" count="1" selected="0">
              <x v="2"/>
            </reference>
          </references>
        </pivotArea>
        <pivotArea type="data" collapsedLevelsAreSubtotals="1" fieldPosition="0">
          <references count="3">
            <reference field="4294967294" count="1" selected="0">
              <x v="4"/>
            </reference>
            <reference field="18" count="1">
              <x v="43"/>
            </reference>
            <reference field="19" count="1" selected="0">
              <x v="2"/>
            </reference>
          </references>
        </pivotArea>
        <pivotArea type="data" collapsedLevelsAreSubtotals="1" fieldPosition="0">
          <references count="3">
            <reference field="4294967294" count="1" selected="0">
              <x v="4"/>
            </reference>
            <reference field="18" count="1">
              <x v="44"/>
            </reference>
            <reference field="19" count="1" selected="0">
              <x v="2"/>
            </reference>
          </references>
        </pivotArea>
        <pivotArea type="data" collapsedLevelsAreSubtotals="1" fieldPosition="0">
          <references count="3">
            <reference field="4294967294" count="1" selected="0">
              <x v="4"/>
            </reference>
            <reference field="18" count="1">
              <x v="45"/>
            </reference>
            <reference field="19" count="1" selected="0">
              <x v="2"/>
            </reference>
          </references>
        </pivotArea>
      </pivotAreas>
    </conditionalFormat>
    <conditionalFormat priority="12">
      <pivotAreas count="19">
        <pivotArea type="data" collapsedLevelsAreSubtotals="1" fieldPosition="0">
          <references count="3">
            <reference field="4294967294" count="1" selected="0">
              <x v="4"/>
            </reference>
            <reference field="18" count="1">
              <x v="28"/>
            </reference>
            <reference field="19" count="1" selected="0">
              <x v="1"/>
            </reference>
          </references>
        </pivotArea>
        <pivotArea type="data" collapsedLevelsAreSubtotals="1" fieldPosition="0">
          <references count="3">
            <reference field="4294967294" count="1" selected="0">
              <x v="4"/>
            </reference>
            <reference field="18" count="1">
              <x v="29"/>
            </reference>
            <reference field="19" count="1" selected="0">
              <x v="1"/>
            </reference>
          </references>
        </pivotArea>
        <pivotArea type="data" collapsedLevelsAreSubtotals="1" fieldPosition="0">
          <references count="3">
            <reference field="4294967294" count="1" selected="0">
              <x v="4"/>
            </reference>
            <reference field="18" count="1">
              <x v="30"/>
            </reference>
            <reference field="19" count="1" selected="0">
              <x v="1"/>
            </reference>
          </references>
        </pivotArea>
        <pivotArea type="data" collapsedLevelsAreSubtotals="1" fieldPosition="0">
          <references count="3">
            <reference field="4294967294" count="1" selected="0">
              <x v="4"/>
            </reference>
            <reference field="18" count="1">
              <x v="31"/>
            </reference>
            <reference field="19" count="1" selected="0">
              <x v="1"/>
            </reference>
          </references>
        </pivotArea>
        <pivotArea type="data" collapsedLevelsAreSubtotals="1" fieldPosition="0">
          <references count="2">
            <reference field="4294967294" count="1" selected="0">
              <x v="4"/>
            </reference>
            <reference field="19" count="1">
              <x v="2"/>
            </reference>
          </references>
        </pivotArea>
        <pivotArea type="data" collapsedLevelsAreSubtotals="1" fieldPosition="0">
          <references count="3">
            <reference field="4294967294" count="1" selected="0">
              <x v="4"/>
            </reference>
            <reference field="18" count="1">
              <x v="32"/>
            </reference>
            <reference field="19" count="1" selected="0">
              <x v="2"/>
            </reference>
          </references>
        </pivotArea>
        <pivotArea type="data" collapsedLevelsAreSubtotals="1" fieldPosition="0">
          <references count="3">
            <reference field="4294967294" count="1" selected="0">
              <x v="4"/>
            </reference>
            <reference field="18" count="1">
              <x v="33"/>
            </reference>
            <reference field="19" count="1" selected="0">
              <x v="2"/>
            </reference>
          </references>
        </pivotArea>
        <pivotArea type="data" collapsedLevelsAreSubtotals="1" fieldPosition="0">
          <references count="3">
            <reference field="4294967294" count="1" selected="0">
              <x v="4"/>
            </reference>
            <reference field="18" count="1">
              <x v="34"/>
            </reference>
            <reference field="19" count="1" selected="0">
              <x v="2"/>
            </reference>
          </references>
        </pivotArea>
        <pivotArea type="data" collapsedLevelsAreSubtotals="1" fieldPosition="0">
          <references count="3">
            <reference field="4294967294" count="1" selected="0">
              <x v="4"/>
            </reference>
            <reference field="18" count="1">
              <x v="35"/>
            </reference>
            <reference field="19" count="1" selected="0">
              <x v="2"/>
            </reference>
          </references>
        </pivotArea>
        <pivotArea type="data" collapsedLevelsAreSubtotals="1" fieldPosition="0">
          <references count="3">
            <reference field="4294967294" count="1" selected="0">
              <x v="4"/>
            </reference>
            <reference field="18" count="1">
              <x v="36"/>
            </reference>
            <reference field="19" count="1" selected="0">
              <x v="2"/>
            </reference>
          </references>
        </pivotArea>
        <pivotArea type="data" collapsedLevelsAreSubtotals="1" fieldPosition="0">
          <references count="3">
            <reference field="4294967294" count="1" selected="0">
              <x v="4"/>
            </reference>
            <reference field="18" count="1">
              <x v="37"/>
            </reference>
            <reference field="19" count="1" selected="0">
              <x v="2"/>
            </reference>
          </references>
        </pivotArea>
        <pivotArea type="data" collapsedLevelsAreSubtotals="1" fieldPosition="0">
          <references count="3">
            <reference field="4294967294" count="1" selected="0">
              <x v="4"/>
            </reference>
            <reference field="18" count="1">
              <x v="38"/>
            </reference>
            <reference field="19" count="1" selected="0">
              <x v="2"/>
            </reference>
          </references>
        </pivotArea>
        <pivotArea type="data" collapsedLevelsAreSubtotals="1" fieldPosition="0">
          <references count="3">
            <reference field="4294967294" count="1" selected="0">
              <x v="4"/>
            </reference>
            <reference field="18" count="1">
              <x v="39"/>
            </reference>
            <reference field="19" count="1" selected="0">
              <x v="2"/>
            </reference>
          </references>
        </pivotArea>
        <pivotArea type="data" collapsedLevelsAreSubtotals="1" fieldPosition="0">
          <references count="3">
            <reference field="4294967294" count="1" selected="0">
              <x v="4"/>
            </reference>
            <reference field="18" count="1">
              <x v="40"/>
            </reference>
            <reference field="19" count="1" selected="0">
              <x v="2"/>
            </reference>
          </references>
        </pivotArea>
        <pivotArea type="data" collapsedLevelsAreSubtotals="1" fieldPosition="0">
          <references count="3">
            <reference field="4294967294" count="1" selected="0">
              <x v="4"/>
            </reference>
            <reference field="18" count="1">
              <x v="41"/>
            </reference>
            <reference field="19" count="1" selected="0">
              <x v="2"/>
            </reference>
          </references>
        </pivotArea>
        <pivotArea type="data" collapsedLevelsAreSubtotals="1" fieldPosition="0">
          <references count="3">
            <reference field="4294967294" count="1" selected="0">
              <x v="4"/>
            </reference>
            <reference field="18" count="1">
              <x v="42"/>
            </reference>
            <reference field="19" count="1" selected="0">
              <x v="2"/>
            </reference>
          </references>
        </pivotArea>
        <pivotArea type="data" collapsedLevelsAreSubtotals="1" fieldPosition="0">
          <references count="3">
            <reference field="4294967294" count="1" selected="0">
              <x v="4"/>
            </reference>
            <reference field="18" count="1">
              <x v="43"/>
            </reference>
            <reference field="19" count="1" selected="0">
              <x v="2"/>
            </reference>
          </references>
        </pivotArea>
        <pivotArea type="data" collapsedLevelsAreSubtotals="1" fieldPosition="0">
          <references count="3">
            <reference field="4294967294" count="1" selected="0">
              <x v="4"/>
            </reference>
            <reference field="18" count="1">
              <x v="44"/>
            </reference>
            <reference field="19" count="1" selected="0">
              <x v="2"/>
            </reference>
          </references>
        </pivotArea>
        <pivotArea type="data" collapsedLevelsAreSubtotals="1" fieldPosition="0">
          <references count="3">
            <reference field="4294967294" count="1" selected="0">
              <x v="4"/>
            </reference>
            <reference field="18" count="1">
              <x v="45"/>
            </reference>
            <reference field="19" count="1" selected="0">
              <x v="2"/>
            </reference>
          </references>
        </pivotArea>
      </pivotAreas>
    </conditionalFormat>
    <conditionalFormat priority="13">
      <pivotAreas count="19">
        <pivotArea type="data" collapsedLevelsAreSubtotals="1" fieldPosition="0">
          <references count="3">
            <reference field="4294967294" count="1" selected="0">
              <x v="2"/>
            </reference>
            <reference field="18" count="1">
              <x v="28"/>
            </reference>
            <reference field="19" count="1" selected="0">
              <x v="1"/>
            </reference>
          </references>
        </pivotArea>
        <pivotArea type="data" collapsedLevelsAreSubtotals="1" fieldPosition="0">
          <references count="3">
            <reference field="4294967294" count="1" selected="0">
              <x v="2"/>
            </reference>
            <reference field="18" count="1">
              <x v="29"/>
            </reference>
            <reference field="19" count="1" selected="0">
              <x v="1"/>
            </reference>
          </references>
        </pivotArea>
        <pivotArea type="data" collapsedLevelsAreSubtotals="1" fieldPosition="0">
          <references count="3">
            <reference field="4294967294" count="1" selected="0">
              <x v="2"/>
            </reference>
            <reference field="18" count="1">
              <x v="30"/>
            </reference>
            <reference field="19" count="1" selected="0">
              <x v="1"/>
            </reference>
          </references>
        </pivotArea>
        <pivotArea type="data" collapsedLevelsAreSubtotals="1" fieldPosition="0">
          <references count="3">
            <reference field="4294967294" count="1" selected="0">
              <x v="2"/>
            </reference>
            <reference field="18" count="1">
              <x v="31"/>
            </reference>
            <reference field="19" count="1" selected="0">
              <x v="1"/>
            </reference>
          </references>
        </pivotArea>
        <pivotArea type="data" collapsedLevelsAreSubtotals="1" fieldPosition="0">
          <references count="2">
            <reference field="4294967294" count="1" selected="0">
              <x v="2"/>
            </reference>
            <reference field="19" count="1">
              <x v="2"/>
            </reference>
          </references>
        </pivotArea>
        <pivotArea type="data" collapsedLevelsAreSubtotals="1" fieldPosition="0">
          <references count="3">
            <reference field="4294967294" count="1" selected="0">
              <x v="2"/>
            </reference>
            <reference field="18" count="1">
              <x v="32"/>
            </reference>
            <reference field="19" count="1" selected="0">
              <x v="2"/>
            </reference>
          </references>
        </pivotArea>
        <pivotArea type="data" collapsedLevelsAreSubtotals="1" fieldPosition="0">
          <references count="3">
            <reference field="4294967294" count="1" selected="0">
              <x v="2"/>
            </reference>
            <reference field="18" count="1">
              <x v="33"/>
            </reference>
            <reference field="19" count="1" selected="0">
              <x v="2"/>
            </reference>
          </references>
        </pivotArea>
        <pivotArea type="data" collapsedLevelsAreSubtotals="1" fieldPosition="0">
          <references count="3">
            <reference field="4294967294" count="1" selected="0">
              <x v="2"/>
            </reference>
            <reference field="18" count="1">
              <x v="34"/>
            </reference>
            <reference field="19" count="1" selected="0">
              <x v="2"/>
            </reference>
          </references>
        </pivotArea>
        <pivotArea type="data" collapsedLevelsAreSubtotals="1" fieldPosition="0">
          <references count="3">
            <reference field="4294967294" count="1" selected="0">
              <x v="2"/>
            </reference>
            <reference field="18" count="1">
              <x v="35"/>
            </reference>
            <reference field="19" count="1" selected="0">
              <x v="2"/>
            </reference>
          </references>
        </pivotArea>
        <pivotArea type="data" collapsedLevelsAreSubtotals="1" fieldPosition="0">
          <references count="3">
            <reference field="4294967294" count="1" selected="0">
              <x v="2"/>
            </reference>
            <reference field="18" count="1">
              <x v="36"/>
            </reference>
            <reference field="19" count="1" selected="0">
              <x v="2"/>
            </reference>
          </references>
        </pivotArea>
        <pivotArea type="data" collapsedLevelsAreSubtotals="1" fieldPosition="0">
          <references count="3">
            <reference field="4294967294" count="1" selected="0">
              <x v="2"/>
            </reference>
            <reference field="18" count="1">
              <x v="37"/>
            </reference>
            <reference field="19" count="1" selected="0">
              <x v="2"/>
            </reference>
          </references>
        </pivotArea>
        <pivotArea type="data" collapsedLevelsAreSubtotals="1" fieldPosition="0">
          <references count="3">
            <reference field="4294967294" count="1" selected="0">
              <x v="2"/>
            </reference>
            <reference field="18" count="1">
              <x v="38"/>
            </reference>
            <reference field="19" count="1" selected="0">
              <x v="2"/>
            </reference>
          </references>
        </pivotArea>
        <pivotArea type="data" collapsedLevelsAreSubtotals="1" fieldPosition="0">
          <references count="3">
            <reference field="4294967294" count="1" selected="0">
              <x v="2"/>
            </reference>
            <reference field="18" count="1">
              <x v="39"/>
            </reference>
            <reference field="19" count="1" selected="0">
              <x v="2"/>
            </reference>
          </references>
        </pivotArea>
        <pivotArea type="data" collapsedLevelsAreSubtotals="1" fieldPosition="0">
          <references count="3">
            <reference field="4294967294" count="1" selected="0">
              <x v="2"/>
            </reference>
            <reference field="18" count="1">
              <x v="40"/>
            </reference>
            <reference field="19" count="1" selected="0">
              <x v="2"/>
            </reference>
          </references>
        </pivotArea>
        <pivotArea type="data" collapsedLevelsAreSubtotals="1" fieldPosition="0">
          <references count="3">
            <reference field="4294967294" count="1" selected="0">
              <x v="2"/>
            </reference>
            <reference field="18" count="1">
              <x v="41"/>
            </reference>
            <reference field="19" count="1" selected="0">
              <x v="2"/>
            </reference>
          </references>
        </pivotArea>
        <pivotArea type="data" collapsedLevelsAreSubtotals="1" fieldPosition="0">
          <references count="3">
            <reference field="4294967294" count="1" selected="0">
              <x v="2"/>
            </reference>
            <reference field="18" count="1">
              <x v="42"/>
            </reference>
            <reference field="19" count="1" selected="0">
              <x v="2"/>
            </reference>
          </references>
        </pivotArea>
        <pivotArea type="data" collapsedLevelsAreSubtotals="1" fieldPosition="0">
          <references count="3">
            <reference field="4294967294" count="1" selected="0">
              <x v="2"/>
            </reference>
            <reference field="18" count="1">
              <x v="43"/>
            </reference>
            <reference field="19" count="1" selected="0">
              <x v="2"/>
            </reference>
          </references>
        </pivotArea>
        <pivotArea type="data" collapsedLevelsAreSubtotals="1" fieldPosition="0">
          <references count="3">
            <reference field="4294967294" count="1" selected="0">
              <x v="2"/>
            </reference>
            <reference field="18" count="1">
              <x v="44"/>
            </reference>
            <reference field="19" count="1" selected="0">
              <x v="2"/>
            </reference>
          </references>
        </pivotArea>
        <pivotArea type="data" collapsedLevelsAreSubtotals="1" fieldPosition="0">
          <references count="3">
            <reference field="4294967294" count="1" selected="0">
              <x v="2"/>
            </reference>
            <reference field="18" count="1">
              <x v="45"/>
            </reference>
            <reference field="19" count="1" selected="0">
              <x v="2"/>
            </reference>
          </references>
        </pivotArea>
      </pivotAreas>
    </conditionalFormat>
    <conditionalFormat priority="14">
      <pivotAreas count="19">
        <pivotArea type="data" collapsedLevelsAreSubtotals="1" fieldPosition="0">
          <references count="3">
            <reference field="4294967294" count="1" selected="0">
              <x v="2"/>
            </reference>
            <reference field="18" count="1">
              <x v="28"/>
            </reference>
            <reference field="19" count="1" selected="0">
              <x v="1"/>
            </reference>
          </references>
        </pivotArea>
        <pivotArea type="data" collapsedLevelsAreSubtotals="1" fieldPosition="0">
          <references count="3">
            <reference field="4294967294" count="1" selected="0">
              <x v="2"/>
            </reference>
            <reference field="18" count="1">
              <x v="29"/>
            </reference>
            <reference field="19" count="1" selected="0">
              <x v="1"/>
            </reference>
          </references>
        </pivotArea>
        <pivotArea type="data" collapsedLevelsAreSubtotals="1" fieldPosition="0">
          <references count="3">
            <reference field="4294967294" count="1" selected="0">
              <x v="2"/>
            </reference>
            <reference field="18" count="1">
              <x v="30"/>
            </reference>
            <reference field="19" count="1" selected="0">
              <x v="1"/>
            </reference>
          </references>
        </pivotArea>
        <pivotArea type="data" collapsedLevelsAreSubtotals="1" fieldPosition="0">
          <references count="3">
            <reference field="4294967294" count="1" selected="0">
              <x v="2"/>
            </reference>
            <reference field="18" count="1">
              <x v="31"/>
            </reference>
            <reference field="19" count="1" selected="0">
              <x v="1"/>
            </reference>
          </references>
        </pivotArea>
        <pivotArea type="data" collapsedLevelsAreSubtotals="1" fieldPosition="0">
          <references count="2">
            <reference field="4294967294" count="1" selected="0">
              <x v="2"/>
            </reference>
            <reference field="19" count="1">
              <x v="2"/>
            </reference>
          </references>
        </pivotArea>
        <pivotArea type="data" collapsedLevelsAreSubtotals="1" fieldPosition="0">
          <references count="3">
            <reference field="4294967294" count="1" selected="0">
              <x v="2"/>
            </reference>
            <reference field="18" count="1">
              <x v="32"/>
            </reference>
            <reference field="19" count="1" selected="0">
              <x v="2"/>
            </reference>
          </references>
        </pivotArea>
        <pivotArea type="data" collapsedLevelsAreSubtotals="1" fieldPosition="0">
          <references count="3">
            <reference field="4294967294" count="1" selected="0">
              <x v="2"/>
            </reference>
            <reference field="18" count="1">
              <x v="33"/>
            </reference>
            <reference field="19" count="1" selected="0">
              <x v="2"/>
            </reference>
          </references>
        </pivotArea>
        <pivotArea type="data" collapsedLevelsAreSubtotals="1" fieldPosition="0">
          <references count="3">
            <reference field="4294967294" count="1" selected="0">
              <x v="2"/>
            </reference>
            <reference field="18" count="1">
              <x v="34"/>
            </reference>
            <reference field="19" count="1" selected="0">
              <x v="2"/>
            </reference>
          </references>
        </pivotArea>
        <pivotArea type="data" collapsedLevelsAreSubtotals="1" fieldPosition="0">
          <references count="3">
            <reference field="4294967294" count="1" selected="0">
              <x v="2"/>
            </reference>
            <reference field="18" count="1">
              <x v="35"/>
            </reference>
            <reference field="19" count="1" selected="0">
              <x v="2"/>
            </reference>
          </references>
        </pivotArea>
        <pivotArea type="data" collapsedLevelsAreSubtotals="1" fieldPosition="0">
          <references count="3">
            <reference field="4294967294" count="1" selected="0">
              <x v="2"/>
            </reference>
            <reference field="18" count="1">
              <x v="36"/>
            </reference>
            <reference field="19" count="1" selected="0">
              <x v="2"/>
            </reference>
          </references>
        </pivotArea>
        <pivotArea type="data" collapsedLevelsAreSubtotals="1" fieldPosition="0">
          <references count="3">
            <reference field="4294967294" count="1" selected="0">
              <x v="2"/>
            </reference>
            <reference field="18" count="1">
              <x v="37"/>
            </reference>
            <reference field="19" count="1" selected="0">
              <x v="2"/>
            </reference>
          </references>
        </pivotArea>
        <pivotArea type="data" collapsedLevelsAreSubtotals="1" fieldPosition="0">
          <references count="3">
            <reference field="4294967294" count="1" selected="0">
              <x v="2"/>
            </reference>
            <reference field="18" count="1">
              <x v="38"/>
            </reference>
            <reference field="19" count="1" selected="0">
              <x v="2"/>
            </reference>
          </references>
        </pivotArea>
        <pivotArea type="data" collapsedLevelsAreSubtotals="1" fieldPosition="0">
          <references count="3">
            <reference field="4294967294" count="1" selected="0">
              <x v="2"/>
            </reference>
            <reference field="18" count="1">
              <x v="39"/>
            </reference>
            <reference field="19" count="1" selected="0">
              <x v="2"/>
            </reference>
          </references>
        </pivotArea>
        <pivotArea type="data" collapsedLevelsAreSubtotals="1" fieldPosition="0">
          <references count="3">
            <reference field="4294967294" count="1" selected="0">
              <x v="2"/>
            </reference>
            <reference field="18" count="1">
              <x v="40"/>
            </reference>
            <reference field="19" count="1" selected="0">
              <x v="2"/>
            </reference>
          </references>
        </pivotArea>
        <pivotArea type="data" collapsedLevelsAreSubtotals="1" fieldPosition="0">
          <references count="3">
            <reference field="4294967294" count="1" selected="0">
              <x v="2"/>
            </reference>
            <reference field="18" count="1">
              <x v="41"/>
            </reference>
            <reference field="19" count="1" selected="0">
              <x v="2"/>
            </reference>
          </references>
        </pivotArea>
        <pivotArea type="data" collapsedLevelsAreSubtotals="1" fieldPosition="0">
          <references count="3">
            <reference field="4294967294" count="1" selected="0">
              <x v="2"/>
            </reference>
            <reference field="18" count="1">
              <x v="42"/>
            </reference>
            <reference field="19" count="1" selected="0">
              <x v="2"/>
            </reference>
          </references>
        </pivotArea>
        <pivotArea type="data" collapsedLevelsAreSubtotals="1" fieldPosition="0">
          <references count="3">
            <reference field="4294967294" count="1" selected="0">
              <x v="2"/>
            </reference>
            <reference field="18" count="1">
              <x v="43"/>
            </reference>
            <reference field="19" count="1" selected="0">
              <x v="2"/>
            </reference>
          </references>
        </pivotArea>
        <pivotArea type="data" collapsedLevelsAreSubtotals="1" fieldPosition="0">
          <references count="3">
            <reference field="4294967294" count="1" selected="0">
              <x v="2"/>
            </reference>
            <reference field="18" count="1">
              <x v="44"/>
            </reference>
            <reference field="19" count="1" selected="0">
              <x v="2"/>
            </reference>
          </references>
        </pivotArea>
        <pivotArea type="data" collapsedLevelsAreSubtotals="1" fieldPosition="0">
          <references count="3">
            <reference field="4294967294" count="1" selected="0">
              <x v="2"/>
            </reference>
            <reference field="18" count="1">
              <x v="45"/>
            </reference>
            <reference field="19" count="1" selected="0">
              <x v="2"/>
            </reference>
          </references>
        </pivotArea>
      </pivotAreas>
    </conditionalFormat>
    <conditionalFormat priority="15">
      <pivotAreas count="19">
        <pivotArea type="data" collapsedLevelsAreSubtotals="1" fieldPosition="0">
          <references count="3">
            <reference field="4294967294" count="1" selected="0">
              <x v="0"/>
            </reference>
            <reference field="18" count="1">
              <x v="28"/>
            </reference>
            <reference field="19" count="1" selected="0">
              <x v="1"/>
            </reference>
          </references>
        </pivotArea>
        <pivotArea type="data" collapsedLevelsAreSubtotals="1" fieldPosition="0">
          <references count="3">
            <reference field="4294967294" count="1" selected="0">
              <x v="0"/>
            </reference>
            <reference field="18" count="1">
              <x v="29"/>
            </reference>
            <reference field="19" count="1" selected="0">
              <x v="1"/>
            </reference>
          </references>
        </pivotArea>
        <pivotArea type="data" collapsedLevelsAreSubtotals="1" fieldPosition="0">
          <references count="3">
            <reference field="4294967294" count="1" selected="0">
              <x v="0"/>
            </reference>
            <reference field="18" count="1">
              <x v="30"/>
            </reference>
            <reference field="19" count="1" selected="0">
              <x v="1"/>
            </reference>
          </references>
        </pivotArea>
        <pivotArea type="data" collapsedLevelsAreSubtotals="1" fieldPosition="0">
          <references count="3">
            <reference field="4294967294" count="1" selected="0">
              <x v="0"/>
            </reference>
            <reference field="18" count="1">
              <x v="31"/>
            </reference>
            <reference field="19" count="1" selected="0">
              <x v="1"/>
            </reference>
          </references>
        </pivotArea>
        <pivotArea type="data" collapsedLevelsAreSubtotals="1" fieldPosition="0">
          <references count="2">
            <reference field="4294967294" count="1" selected="0">
              <x v="0"/>
            </reference>
            <reference field="19" count="1">
              <x v="2"/>
            </reference>
          </references>
        </pivotArea>
        <pivotArea type="data" collapsedLevelsAreSubtotals="1" fieldPosition="0">
          <references count="3">
            <reference field="4294967294" count="1" selected="0">
              <x v="0"/>
            </reference>
            <reference field="18" count="1">
              <x v="32"/>
            </reference>
            <reference field="19" count="1" selected="0">
              <x v="2"/>
            </reference>
          </references>
        </pivotArea>
        <pivotArea type="data" collapsedLevelsAreSubtotals="1" fieldPosition="0">
          <references count="3">
            <reference field="4294967294" count="1" selected="0">
              <x v="0"/>
            </reference>
            <reference field="18" count="1">
              <x v="33"/>
            </reference>
            <reference field="19" count="1" selected="0">
              <x v="2"/>
            </reference>
          </references>
        </pivotArea>
        <pivotArea type="data" collapsedLevelsAreSubtotals="1" fieldPosition="0">
          <references count="3">
            <reference field="4294967294" count="1" selected="0">
              <x v="0"/>
            </reference>
            <reference field="18" count="1">
              <x v="34"/>
            </reference>
            <reference field="19" count="1" selected="0">
              <x v="2"/>
            </reference>
          </references>
        </pivotArea>
        <pivotArea type="data" collapsedLevelsAreSubtotals="1" fieldPosition="0">
          <references count="3">
            <reference field="4294967294" count="1" selected="0">
              <x v="0"/>
            </reference>
            <reference field="18" count="1">
              <x v="35"/>
            </reference>
            <reference field="19" count="1" selected="0">
              <x v="2"/>
            </reference>
          </references>
        </pivotArea>
        <pivotArea type="data" collapsedLevelsAreSubtotals="1" fieldPosition="0">
          <references count="3">
            <reference field="4294967294" count="1" selected="0">
              <x v="0"/>
            </reference>
            <reference field="18" count="1">
              <x v="36"/>
            </reference>
            <reference field="19" count="1" selected="0">
              <x v="2"/>
            </reference>
          </references>
        </pivotArea>
        <pivotArea type="data" collapsedLevelsAreSubtotals="1" fieldPosition="0">
          <references count="3">
            <reference field="4294967294" count="1" selected="0">
              <x v="0"/>
            </reference>
            <reference field="18" count="1">
              <x v="37"/>
            </reference>
            <reference field="19" count="1" selected="0">
              <x v="2"/>
            </reference>
          </references>
        </pivotArea>
        <pivotArea type="data" collapsedLevelsAreSubtotals="1" fieldPosition="0">
          <references count="3">
            <reference field="4294967294" count="1" selected="0">
              <x v="0"/>
            </reference>
            <reference field="18" count="1">
              <x v="38"/>
            </reference>
            <reference field="19" count="1" selected="0">
              <x v="2"/>
            </reference>
          </references>
        </pivotArea>
        <pivotArea type="data" collapsedLevelsAreSubtotals="1" fieldPosition="0">
          <references count="3">
            <reference field="4294967294" count="1" selected="0">
              <x v="0"/>
            </reference>
            <reference field="18" count="1">
              <x v="39"/>
            </reference>
            <reference field="19" count="1" selected="0">
              <x v="2"/>
            </reference>
          </references>
        </pivotArea>
        <pivotArea type="data" collapsedLevelsAreSubtotals="1" fieldPosition="0">
          <references count="3">
            <reference field="4294967294" count="1" selected="0">
              <x v="0"/>
            </reference>
            <reference field="18" count="1">
              <x v="40"/>
            </reference>
            <reference field="19" count="1" selected="0">
              <x v="2"/>
            </reference>
          </references>
        </pivotArea>
        <pivotArea type="data" collapsedLevelsAreSubtotals="1" fieldPosition="0">
          <references count="3">
            <reference field="4294967294" count="1" selected="0">
              <x v="0"/>
            </reference>
            <reference field="18" count="1">
              <x v="41"/>
            </reference>
            <reference field="19" count="1" selected="0">
              <x v="2"/>
            </reference>
          </references>
        </pivotArea>
        <pivotArea type="data" collapsedLevelsAreSubtotals="1" fieldPosition="0">
          <references count="3">
            <reference field="4294967294" count="1" selected="0">
              <x v="0"/>
            </reference>
            <reference field="18" count="1">
              <x v="42"/>
            </reference>
            <reference field="19" count="1" selected="0">
              <x v="2"/>
            </reference>
          </references>
        </pivotArea>
        <pivotArea type="data" collapsedLevelsAreSubtotals="1" fieldPosition="0">
          <references count="3">
            <reference field="4294967294" count="1" selected="0">
              <x v="0"/>
            </reference>
            <reference field="18" count="1">
              <x v="43"/>
            </reference>
            <reference field="19" count="1" selected="0">
              <x v="2"/>
            </reference>
          </references>
        </pivotArea>
        <pivotArea type="data" collapsedLevelsAreSubtotals="1" fieldPosition="0">
          <references count="3">
            <reference field="4294967294" count="1" selected="0">
              <x v="0"/>
            </reference>
            <reference field="18" count="1">
              <x v="44"/>
            </reference>
            <reference field="19" count="1" selected="0">
              <x v="2"/>
            </reference>
          </references>
        </pivotArea>
        <pivotArea type="data" collapsedLevelsAreSubtotals="1" fieldPosition="0">
          <references count="3">
            <reference field="4294967294" count="1" selected="0">
              <x v="0"/>
            </reference>
            <reference field="18" count="1">
              <x v="45"/>
            </reference>
            <reference field="19" count="1" selected="0">
              <x v="2"/>
            </reference>
          </references>
        </pivotArea>
      </pivotAreas>
    </conditionalFormat>
    <conditionalFormat priority="21">
      <pivotAreas count="19">
        <pivotArea type="data" collapsedLevelsAreSubtotals="1" fieldPosition="0">
          <references count="3">
            <reference field="4294967294" count="1" selected="0">
              <x v="0"/>
            </reference>
            <reference field="18" count="1">
              <x v="28"/>
            </reference>
            <reference field="19" count="1" selected="0">
              <x v="1"/>
            </reference>
          </references>
        </pivotArea>
        <pivotArea type="data" collapsedLevelsAreSubtotals="1" fieldPosition="0">
          <references count="3">
            <reference field="4294967294" count="1" selected="0">
              <x v="0"/>
            </reference>
            <reference field="18" count="1">
              <x v="29"/>
            </reference>
            <reference field="19" count="1" selected="0">
              <x v="1"/>
            </reference>
          </references>
        </pivotArea>
        <pivotArea type="data" collapsedLevelsAreSubtotals="1" fieldPosition="0">
          <references count="3">
            <reference field="4294967294" count="1" selected="0">
              <x v="0"/>
            </reference>
            <reference field="18" count="1">
              <x v="30"/>
            </reference>
            <reference field="19" count="1" selected="0">
              <x v="1"/>
            </reference>
          </references>
        </pivotArea>
        <pivotArea type="data" collapsedLevelsAreSubtotals="1" fieldPosition="0">
          <references count="3">
            <reference field="4294967294" count="1" selected="0">
              <x v="0"/>
            </reference>
            <reference field="18" count="1">
              <x v="31"/>
            </reference>
            <reference field="19" count="1" selected="0">
              <x v="1"/>
            </reference>
          </references>
        </pivotArea>
        <pivotArea type="data" collapsedLevelsAreSubtotals="1" fieldPosition="0">
          <references count="2">
            <reference field="4294967294" count="1" selected="0">
              <x v="0"/>
            </reference>
            <reference field="19" count="1">
              <x v="2"/>
            </reference>
          </references>
        </pivotArea>
        <pivotArea type="data" collapsedLevelsAreSubtotals="1" fieldPosition="0">
          <references count="3">
            <reference field="4294967294" count="1" selected="0">
              <x v="0"/>
            </reference>
            <reference field="18" count="1">
              <x v="32"/>
            </reference>
            <reference field="19" count="1" selected="0">
              <x v="2"/>
            </reference>
          </references>
        </pivotArea>
        <pivotArea type="data" collapsedLevelsAreSubtotals="1" fieldPosition="0">
          <references count="3">
            <reference field="4294967294" count="1" selected="0">
              <x v="0"/>
            </reference>
            <reference field="18" count="1">
              <x v="33"/>
            </reference>
            <reference field="19" count="1" selected="0">
              <x v="2"/>
            </reference>
          </references>
        </pivotArea>
        <pivotArea type="data" collapsedLevelsAreSubtotals="1" fieldPosition="0">
          <references count="3">
            <reference field="4294967294" count="1" selected="0">
              <x v="0"/>
            </reference>
            <reference field="18" count="1">
              <x v="34"/>
            </reference>
            <reference field="19" count="1" selected="0">
              <x v="2"/>
            </reference>
          </references>
        </pivotArea>
        <pivotArea type="data" collapsedLevelsAreSubtotals="1" fieldPosition="0">
          <references count="3">
            <reference field="4294967294" count="1" selected="0">
              <x v="0"/>
            </reference>
            <reference field="18" count="1">
              <x v="35"/>
            </reference>
            <reference field="19" count="1" selected="0">
              <x v="2"/>
            </reference>
          </references>
        </pivotArea>
        <pivotArea type="data" collapsedLevelsAreSubtotals="1" fieldPosition="0">
          <references count="3">
            <reference field="4294967294" count="1" selected="0">
              <x v="0"/>
            </reference>
            <reference field="18" count="1">
              <x v="36"/>
            </reference>
            <reference field="19" count="1" selected="0">
              <x v="2"/>
            </reference>
          </references>
        </pivotArea>
        <pivotArea type="data" collapsedLevelsAreSubtotals="1" fieldPosition="0">
          <references count="3">
            <reference field="4294967294" count="1" selected="0">
              <x v="0"/>
            </reference>
            <reference field="18" count="1">
              <x v="37"/>
            </reference>
            <reference field="19" count="1" selected="0">
              <x v="2"/>
            </reference>
          </references>
        </pivotArea>
        <pivotArea type="data" collapsedLevelsAreSubtotals="1" fieldPosition="0">
          <references count="3">
            <reference field="4294967294" count="1" selected="0">
              <x v="0"/>
            </reference>
            <reference field="18" count="1">
              <x v="38"/>
            </reference>
            <reference field="19" count="1" selected="0">
              <x v="2"/>
            </reference>
          </references>
        </pivotArea>
        <pivotArea type="data" collapsedLevelsAreSubtotals="1" fieldPosition="0">
          <references count="3">
            <reference field="4294967294" count="1" selected="0">
              <x v="0"/>
            </reference>
            <reference field="18" count="1">
              <x v="39"/>
            </reference>
            <reference field="19" count="1" selected="0">
              <x v="2"/>
            </reference>
          </references>
        </pivotArea>
        <pivotArea type="data" collapsedLevelsAreSubtotals="1" fieldPosition="0">
          <references count="3">
            <reference field="4294967294" count="1" selected="0">
              <x v="0"/>
            </reference>
            <reference field="18" count="1">
              <x v="40"/>
            </reference>
            <reference field="19" count="1" selected="0">
              <x v="2"/>
            </reference>
          </references>
        </pivotArea>
        <pivotArea type="data" collapsedLevelsAreSubtotals="1" fieldPosition="0">
          <references count="3">
            <reference field="4294967294" count="1" selected="0">
              <x v="0"/>
            </reference>
            <reference field="18" count="1">
              <x v="41"/>
            </reference>
            <reference field="19" count="1" selected="0">
              <x v="2"/>
            </reference>
          </references>
        </pivotArea>
        <pivotArea type="data" collapsedLevelsAreSubtotals="1" fieldPosition="0">
          <references count="3">
            <reference field="4294967294" count="1" selected="0">
              <x v="0"/>
            </reference>
            <reference field="18" count="1">
              <x v="42"/>
            </reference>
            <reference field="19" count="1" selected="0">
              <x v="2"/>
            </reference>
          </references>
        </pivotArea>
        <pivotArea type="data" collapsedLevelsAreSubtotals="1" fieldPosition="0">
          <references count="3">
            <reference field="4294967294" count="1" selected="0">
              <x v="0"/>
            </reference>
            <reference field="18" count="1">
              <x v="43"/>
            </reference>
            <reference field="19" count="1" selected="0">
              <x v="2"/>
            </reference>
          </references>
        </pivotArea>
        <pivotArea type="data" collapsedLevelsAreSubtotals="1" fieldPosition="0">
          <references count="3">
            <reference field="4294967294" count="1" selected="0">
              <x v="0"/>
            </reference>
            <reference field="18" count="1">
              <x v="44"/>
            </reference>
            <reference field="19" count="1" selected="0">
              <x v="2"/>
            </reference>
          </references>
        </pivotArea>
        <pivotArea type="data" collapsedLevelsAreSubtotals="1" fieldPosition="0">
          <references count="3">
            <reference field="4294967294" count="1" selected="0">
              <x v="0"/>
            </reference>
            <reference field="18" count="1">
              <x v="45"/>
            </reference>
            <reference field="19" count="1" selected="0">
              <x v="2"/>
            </reference>
          </references>
        </pivotArea>
      </pivotAreas>
    </conditionalFormat>
  </conditional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C616E74C-B2FE-434D-A798-C81BA4172187}" sourceName="Weather">
  <pivotTables>
    <pivotTable tabId="4" name="PivotTable4"/>
    <pivotTable tabId="4" name="PivotTable1"/>
  </pivotTables>
  <data>
    <tabular pivotCacheId="149402198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139B794E-ADBB-40E7-9A3C-AE2E45502BC8}" sourceName="Day">
  <pivotTables>
    <pivotTable tabId="5" name="PivotTable2"/>
    <pivotTable tabId="5" name="PivotTable1"/>
  </pivotTables>
  <data>
    <tabular pivotCacheId="1494021980">
      <items count="7">
        <i x="1" s="1"/>
        <i x="2" s="1"/>
        <i x="3" s="1"/>
        <i x="4" s="1"/>
        <i x="5"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xr10:uid="{CD7E8D2A-155B-4B6B-9010-2534873FE972}" cache="Slicer_Weather" caption="Weather" columnCount="3"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E5602118-0787-4ECE-8B75-9A11DC2D54DF}" cache="Slicer_Day" caption="Day" showCaption="0"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D89CA8-1B98-430D-8EE4-9763EB2D01CB}" name="dataset3" displayName="dataset3" ref="A1:R391" totalsRowShown="0" headerRowDxfId="131" dataDxfId="130">
  <autoFilter ref="A1:R391" xr:uid="{6CD89CA8-1B98-430D-8EE4-9763EB2D01CB}"/>
  <tableColumns count="18">
    <tableColumn id="1" xr3:uid="{8C8EDC73-9340-41BE-8FAE-C29C6C0C6978}" name="Instant" dataDxfId="129"/>
    <tableColumn id="2" xr3:uid="{FA5B564D-B847-4EDE-BACB-EBB66AD71DA6}" name="Date" dataDxfId="128"/>
    <tableColumn id="3" xr3:uid="{2FF32AEB-EF66-4094-9769-C636FA1BD181}" name="Season" dataDxfId="127"/>
    <tableColumn id="6" xr3:uid="{DECF9B74-372D-41DA-8B94-867A77C5DE20}" name="Hour" dataDxfId="126"/>
    <tableColumn id="17" xr3:uid="{B9387D1A-2244-4C16-BDBD-A9B520195C01}" name="Holiday" dataDxfId="125"/>
    <tableColumn id="8" xr3:uid="{42696ABE-5526-4498-B612-80C642776317}" name="Weekday" dataDxfId="124"/>
    <tableColumn id="9" xr3:uid="{2F527E63-4701-44D0-AB83-B5B31AD03C7D}" name="Weather sit" dataDxfId="123"/>
    <tableColumn id="4" xr3:uid="{A36EF71E-A576-4256-BAAB-C3C487441DD2}" name="Day" dataDxfId="122">
      <calculatedColumnFormula>TEXT(B2,"dddd")</calculatedColumnFormula>
    </tableColumn>
    <tableColumn id="5" xr3:uid="{47715B21-B03D-4220-A255-EB117C4EBE8C}" name="Weather" dataDxfId="121">
      <calculatedColumnFormula array="1">_xlfn.IFS(dataset3[[#This Row],[Weather sit]]=1,"1 Clear",dataset3[[#This Row],[Weather sit]]=2,"2 Misty/Cloudy",dataset3[[#This Row],[Weather sit]]=3,"3 Light Snow/Rain",dataset3[[#This Row],[Weather sit]]=4,"4 Heavy Snow/Rain")</calculatedColumnFormula>
    </tableColumn>
    <tableColumn id="10" xr3:uid="{651D1F10-235A-4546-857E-E8E60B38BA68}" name="Temp" dataDxfId="120"/>
    <tableColumn id="11" xr3:uid="{D6671AD4-F754-4C2B-9460-C094808DACBA}" name="Atemp" dataDxfId="119"/>
    <tableColumn id="12" xr3:uid="{82BB4DC6-4A2D-4D7F-BBAD-251496797521}" name="Hum" dataDxfId="118"/>
    <tableColumn id="13" xr3:uid="{74636D1F-9913-4FE7-BEB7-E62150A669D4}" name="Windspeed" dataDxfId="117"/>
    <tableColumn id="14" xr3:uid="{D0EDB55F-D039-42A8-93D7-12DBB8C1F304}" name="Casual" dataDxfId="116"/>
    <tableColumn id="15" xr3:uid="{73A7C514-C5AF-48F3-B8F6-C2248FCFB463}" name="Registered" dataDxfId="115"/>
    <tableColumn id="16" xr3:uid="{5FF9A09F-629C-4F37-A0C2-438AA63F3B82}" name="Total" dataDxfId="114"/>
    <tableColumn id="7" xr3:uid="{B4F5F56A-5870-43CE-98C3-2932A276F447}" name="Windspeed Bucket" dataDxfId="113">
      <calculatedColumnFormula array="1">_xlfn.IFS(dataset3[[#This Row],[Windspeed]]&lt;=0.1,"0.00 -0.10",dataset3[[#This Row],[Windspeed]]&lt;=0.2,"0.10-0.20",dataset3[[#This Row],[Windspeed]]&lt;=0.3,"0.20-0.30",dataset3[[#This Row],[Windspeed]]&lt;=0.4,"0.30-0.40",dataset3[[#This Row],[Windspeed]]&lt;=0.5,"0.40-0.50",dataset3[[#This Row],[Windspeed]]&lt;=0.6,"0.50-0.60")</calculatedColumnFormula>
    </tableColumn>
    <tableColumn id="18" xr3:uid="{A693DED5-0B8C-4821-B04F-91665F516BA0}" name="Humidity Bucket" dataDxfId="112">
      <calculatedColumnFormula array="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391"/>
  <sheetViews>
    <sheetView topLeftCell="A368" workbookViewId="0">
      <selection sqref="A1:P391"/>
    </sheetView>
  </sheetViews>
  <sheetFormatPr defaultColWidth="12.6640625" defaultRowHeight="15.75" customHeight="1"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1">
        <v>620</v>
      </c>
      <c r="B2" s="2">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5">
      <c r="A3" s="1">
        <v>621</v>
      </c>
      <c r="B3" s="2">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5">
      <c r="A4" s="1">
        <v>622</v>
      </c>
      <c r="B4" s="2">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5">
      <c r="A5" s="1">
        <v>623</v>
      </c>
      <c r="B5" s="2">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5">
      <c r="A6" s="1">
        <v>624</v>
      </c>
      <c r="B6" s="2">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5">
      <c r="A7" s="1">
        <v>625</v>
      </c>
      <c r="B7" s="2">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5">
      <c r="A8" s="1">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5">
      <c r="A9" s="1">
        <v>627</v>
      </c>
      <c r="B9" s="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5">
      <c r="A10" s="1">
        <v>628</v>
      </c>
      <c r="B10" s="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5">
      <c r="A11" s="1">
        <v>629</v>
      </c>
      <c r="B11" s="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5">
      <c r="A12" s="1">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5">
      <c r="A13" s="1">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5">
      <c r="A14" s="1">
        <v>632</v>
      </c>
      <c r="B14" s="2">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5">
      <c r="A15" s="1">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5">
      <c r="A16" s="1">
        <v>634</v>
      </c>
      <c r="B16" s="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5">
      <c r="A17" s="1">
        <v>635</v>
      </c>
      <c r="B17" s="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5">
      <c r="A18" s="1">
        <v>636</v>
      </c>
      <c r="B18" s="2">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5">
      <c r="A19" s="1">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5">
      <c r="A20" s="1">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5">
      <c r="A21" s="1">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5">
      <c r="A22" s="1">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5">
      <c r="A23" s="1">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26A3F-4B92-4628-B0A7-30054C9F0C21}">
  <dimension ref="A1:R391"/>
  <sheetViews>
    <sheetView tabSelected="1" topLeftCell="J1" workbookViewId="0">
      <selection activeCell="Q1" sqref="Q1"/>
    </sheetView>
  </sheetViews>
  <sheetFormatPr defaultRowHeight="13.2" x14ac:dyDescent="0.25"/>
  <cols>
    <col min="2" max="2" width="10.33203125" style="4" bestFit="1" customWidth="1"/>
    <col min="3" max="3" width="9.109375" customWidth="1"/>
    <col min="4" max="4" width="7.5546875" bestFit="1" customWidth="1"/>
    <col min="6" max="6" width="10.44140625" customWidth="1"/>
    <col min="7" max="7" width="12" customWidth="1"/>
    <col min="10" max="12" width="8.88671875" customWidth="1"/>
    <col min="13" max="13" width="13" customWidth="1"/>
    <col min="14" max="14" width="8.88671875" customWidth="1"/>
    <col min="15" max="15" width="11.77734375" customWidth="1"/>
    <col min="16" max="16" width="10.33203125" customWidth="1"/>
    <col min="17" max="17" width="19.88671875" bestFit="1" customWidth="1"/>
    <col min="18" max="18" width="14.5546875" customWidth="1"/>
    <col min="19" max="19" width="14.44140625" customWidth="1"/>
    <col min="20" max="20" width="17.6640625" bestFit="1" customWidth="1"/>
  </cols>
  <sheetData>
    <row r="1" spans="1:18" x14ac:dyDescent="0.25">
      <c r="A1" s="5" t="s">
        <v>16</v>
      </c>
      <c r="B1" s="6" t="s">
        <v>17</v>
      </c>
      <c r="C1" s="5" t="s">
        <v>18</v>
      </c>
      <c r="D1" s="5" t="s">
        <v>85</v>
      </c>
      <c r="E1" s="5" t="s">
        <v>19</v>
      </c>
      <c r="F1" s="5" t="s">
        <v>20</v>
      </c>
      <c r="G1" s="5" t="s">
        <v>86</v>
      </c>
      <c r="H1" s="1" t="s">
        <v>28</v>
      </c>
      <c r="I1" s="1" t="s">
        <v>29</v>
      </c>
      <c r="J1" s="5" t="s">
        <v>21</v>
      </c>
      <c r="K1" s="5" t="s">
        <v>22</v>
      </c>
      <c r="L1" s="5" t="s">
        <v>23</v>
      </c>
      <c r="M1" s="5" t="s">
        <v>24</v>
      </c>
      <c r="N1" s="5" t="s">
        <v>25</v>
      </c>
      <c r="O1" s="5" t="s">
        <v>26</v>
      </c>
      <c r="P1" s="5" t="s">
        <v>63</v>
      </c>
      <c r="Q1" s="1" t="s">
        <v>61</v>
      </c>
      <c r="R1" s="1" t="s">
        <v>62</v>
      </c>
    </row>
    <row r="2" spans="1:18" x14ac:dyDescent="0.25">
      <c r="A2" s="1">
        <v>620</v>
      </c>
      <c r="B2" s="3">
        <v>40572</v>
      </c>
      <c r="C2" s="1">
        <v>1</v>
      </c>
      <c r="D2" s="1">
        <v>1</v>
      </c>
      <c r="E2" s="1" t="s">
        <v>27</v>
      </c>
      <c r="F2" s="1">
        <v>6</v>
      </c>
      <c r="G2" s="1">
        <v>1</v>
      </c>
      <c r="H2" s="1" t="str">
        <f t="shared" ref="H2:H65" si="0">TEXT(B2,"dddd")</f>
        <v>Saturday</v>
      </c>
      <c r="I2" s="1" t="str" cm="1">
        <f t="array" ref="I2">_xlfn.IFS(dataset3[[#This Row],[Weather sit]]=1,"1 Clear",dataset3[[#This Row],[Weather sit]]=2,"2 Misty/Cloudy",dataset3[[#This Row],[Weather sit]]=3,"3 Light Snow/Rain",dataset3[[#This Row],[Weather sit]]=4,"4 Heavy Snow/Rain")</f>
        <v>1 Clear</v>
      </c>
      <c r="J2" s="7">
        <v>0.22</v>
      </c>
      <c r="K2" s="7">
        <v>0.2273</v>
      </c>
      <c r="L2" s="7">
        <v>0.64</v>
      </c>
      <c r="M2" s="7">
        <v>0.19400000000000001</v>
      </c>
      <c r="N2" s="1">
        <v>0</v>
      </c>
      <c r="O2" s="1">
        <v>20</v>
      </c>
      <c r="P2" s="1">
        <v>20</v>
      </c>
      <c r="Q2" s="1" t="str" cm="1">
        <f t="array" ref="Q2">_xlfn.IFS(dataset3[[#This Row],[Windspeed]]&lt;=0.1,"0.00 -0.10",dataset3[[#This Row],[Windspeed]]&lt;=0.2,"0.10-0.20",dataset3[[#This Row],[Windspeed]]&lt;=0.3,"0.20-0.30",dataset3[[#This Row],[Windspeed]]&lt;=0.4,"0.30-0.40",dataset3[[#This Row],[Windspeed]]&lt;=0.5,"0.40-0.50",dataset3[[#This Row],[Windspeed]]&lt;=0.6,"0.50-0.60")</f>
        <v>0.10-0.20</v>
      </c>
      <c r="R2" s="1" t="str" cm="1">
        <f t="array" ref="R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 spans="1:18" x14ac:dyDescent="0.25">
      <c r="A3" s="1">
        <v>621</v>
      </c>
      <c r="B3" s="3">
        <v>40572</v>
      </c>
      <c r="C3" s="1">
        <v>1</v>
      </c>
      <c r="D3" s="1">
        <v>2</v>
      </c>
      <c r="E3" s="1" t="s">
        <v>27</v>
      </c>
      <c r="F3" s="1">
        <v>6</v>
      </c>
      <c r="G3" s="1">
        <v>1</v>
      </c>
      <c r="H3" s="1" t="str">
        <f t="shared" si="0"/>
        <v>Saturday</v>
      </c>
      <c r="I3" s="1" t="str" cm="1">
        <f t="array" ref="I3">_xlfn.IFS(dataset3[[#This Row],[Weather sit]]=1,"1 Clear",dataset3[[#This Row],[Weather sit]]=2,"2 Misty/Cloudy",dataset3[[#This Row],[Weather sit]]=3,"3 Light Snow/Rain",dataset3[[#This Row],[Weather sit]]=4,"4 Heavy Snow/Rain")</f>
        <v>1 Clear</v>
      </c>
      <c r="J3" s="7">
        <v>0.22</v>
      </c>
      <c r="K3" s="7">
        <v>0.2273</v>
      </c>
      <c r="L3" s="7">
        <v>0.64</v>
      </c>
      <c r="M3" s="7">
        <v>0.16420000000000001</v>
      </c>
      <c r="N3" s="1">
        <v>0</v>
      </c>
      <c r="O3" s="1">
        <v>15</v>
      </c>
      <c r="P3" s="1">
        <v>15</v>
      </c>
      <c r="Q3" s="1" t="str" cm="1">
        <f t="array" ref="Q3">_xlfn.IFS(dataset3[[#This Row],[Windspeed]]&lt;=0.1,"0.00 -0.10",dataset3[[#This Row],[Windspeed]]&lt;=0.2,"0.10-0.20",dataset3[[#This Row],[Windspeed]]&lt;=0.3,"0.20-0.30",dataset3[[#This Row],[Windspeed]]&lt;=0.4,"0.30-0.40",dataset3[[#This Row],[Windspeed]]&lt;=0.5,"0.40-0.50",dataset3[[#This Row],[Windspeed]]&lt;=0.6,"0.50-0.60")</f>
        <v>0.10-0.20</v>
      </c>
      <c r="R3" s="1" t="str" cm="1">
        <f t="array" ref="R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4" spans="1:18" x14ac:dyDescent="0.25">
      <c r="A4" s="1">
        <v>622</v>
      </c>
      <c r="B4" s="3">
        <v>40572</v>
      </c>
      <c r="C4" s="1">
        <v>1</v>
      </c>
      <c r="D4" s="1">
        <v>3</v>
      </c>
      <c r="E4" s="1" t="s">
        <v>27</v>
      </c>
      <c r="F4" s="1">
        <v>6</v>
      </c>
      <c r="G4" s="1">
        <v>1</v>
      </c>
      <c r="H4" s="1" t="str">
        <f t="shared" si="0"/>
        <v>Saturday</v>
      </c>
      <c r="I4" s="1" t="str" cm="1">
        <f t="array" ref="I4">_xlfn.IFS(dataset3[[#This Row],[Weather sit]]=1,"1 Clear",dataset3[[#This Row],[Weather sit]]=2,"2 Misty/Cloudy",dataset3[[#This Row],[Weather sit]]=3,"3 Light Snow/Rain",dataset3[[#This Row],[Weather sit]]=4,"4 Heavy Snow/Rain")</f>
        <v>1 Clear</v>
      </c>
      <c r="J4" s="7">
        <v>0.2</v>
      </c>
      <c r="K4" s="7">
        <v>0.21210000000000001</v>
      </c>
      <c r="L4" s="7">
        <v>0.64</v>
      </c>
      <c r="M4" s="7">
        <v>0.1343</v>
      </c>
      <c r="N4" s="1">
        <v>3</v>
      </c>
      <c r="O4" s="1">
        <v>5</v>
      </c>
      <c r="P4" s="1">
        <v>8</v>
      </c>
      <c r="Q4" s="1" t="str" cm="1">
        <f t="array" ref="Q4">_xlfn.IFS(dataset3[[#This Row],[Windspeed]]&lt;=0.1,"0.00 -0.10",dataset3[[#This Row],[Windspeed]]&lt;=0.2,"0.10-0.20",dataset3[[#This Row],[Windspeed]]&lt;=0.3,"0.20-0.30",dataset3[[#This Row],[Windspeed]]&lt;=0.4,"0.30-0.40",dataset3[[#This Row],[Windspeed]]&lt;=0.5,"0.40-0.50",dataset3[[#This Row],[Windspeed]]&lt;=0.6,"0.50-0.60")</f>
        <v>0.10-0.20</v>
      </c>
      <c r="R4" s="1" t="str" cm="1">
        <f t="array" ref="R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5" spans="1:18" x14ac:dyDescent="0.25">
      <c r="A5" s="1">
        <v>623</v>
      </c>
      <c r="B5" s="3">
        <v>40572</v>
      </c>
      <c r="C5" s="1">
        <v>1</v>
      </c>
      <c r="D5" s="1">
        <v>4</v>
      </c>
      <c r="E5" s="1" t="s">
        <v>27</v>
      </c>
      <c r="F5" s="1">
        <v>6</v>
      </c>
      <c r="G5" s="1">
        <v>1</v>
      </c>
      <c r="H5" s="1" t="str">
        <f t="shared" si="0"/>
        <v>Saturday</v>
      </c>
      <c r="I5" s="1" t="str" cm="1">
        <f t="array" ref="I5">_xlfn.IFS(dataset3[[#This Row],[Weather sit]]=1,"1 Clear",dataset3[[#This Row],[Weather sit]]=2,"2 Misty/Cloudy",dataset3[[#This Row],[Weather sit]]=3,"3 Light Snow/Rain",dataset3[[#This Row],[Weather sit]]=4,"4 Heavy Snow/Rain")</f>
        <v>1 Clear</v>
      </c>
      <c r="J5" s="7">
        <v>0.16</v>
      </c>
      <c r="K5" s="7">
        <v>0.18179999999999999</v>
      </c>
      <c r="L5" s="7">
        <v>0.69</v>
      </c>
      <c r="M5" s="7">
        <v>0.1045</v>
      </c>
      <c r="N5" s="1">
        <v>1</v>
      </c>
      <c r="O5" s="1">
        <v>2</v>
      </c>
      <c r="P5" s="1">
        <v>3</v>
      </c>
      <c r="Q5" s="1" t="str" cm="1">
        <f t="array" ref="Q5">_xlfn.IFS(dataset3[[#This Row],[Windspeed]]&lt;=0.1,"0.00 -0.10",dataset3[[#This Row],[Windspeed]]&lt;=0.2,"0.10-0.20",dataset3[[#This Row],[Windspeed]]&lt;=0.3,"0.20-0.30",dataset3[[#This Row],[Windspeed]]&lt;=0.4,"0.30-0.40",dataset3[[#This Row],[Windspeed]]&lt;=0.5,"0.40-0.50",dataset3[[#This Row],[Windspeed]]&lt;=0.6,"0.50-0.60")</f>
        <v>0.10-0.20</v>
      </c>
      <c r="R5" s="1" t="str" cm="1">
        <f t="array" ref="R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6" spans="1:18" x14ac:dyDescent="0.25">
      <c r="A6" s="1">
        <v>624</v>
      </c>
      <c r="B6" s="3">
        <v>40572</v>
      </c>
      <c r="C6" s="1">
        <v>1</v>
      </c>
      <c r="D6" s="1">
        <v>6</v>
      </c>
      <c r="E6" s="1" t="s">
        <v>27</v>
      </c>
      <c r="F6" s="1">
        <v>6</v>
      </c>
      <c r="G6" s="1">
        <v>1</v>
      </c>
      <c r="H6" s="1" t="str">
        <f t="shared" si="0"/>
        <v>Saturday</v>
      </c>
      <c r="I6" s="1" t="str" cm="1">
        <f t="array" ref="I6">_xlfn.IFS(dataset3[[#This Row],[Weather sit]]=1,"1 Clear",dataset3[[#This Row],[Weather sit]]=2,"2 Misty/Cloudy",dataset3[[#This Row],[Weather sit]]=3,"3 Light Snow/Rain",dataset3[[#This Row],[Weather sit]]=4,"4 Heavy Snow/Rain")</f>
        <v>1 Clear</v>
      </c>
      <c r="J6" s="7">
        <v>0.16</v>
      </c>
      <c r="K6" s="7">
        <v>0.18179999999999999</v>
      </c>
      <c r="L6" s="7">
        <v>0.64</v>
      </c>
      <c r="M6" s="7">
        <v>0.1343</v>
      </c>
      <c r="N6" s="1">
        <v>0</v>
      </c>
      <c r="O6" s="1">
        <v>2</v>
      </c>
      <c r="P6" s="1">
        <v>2</v>
      </c>
      <c r="Q6" s="1" t="str" cm="1">
        <f t="array" ref="Q6">_xlfn.IFS(dataset3[[#This Row],[Windspeed]]&lt;=0.1,"0.00 -0.10",dataset3[[#This Row],[Windspeed]]&lt;=0.2,"0.10-0.20",dataset3[[#This Row],[Windspeed]]&lt;=0.3,"0.20-0.30",dataset3[[#This Row],[Windspeed]]&lt;=0.4,"0.30-0.40",dataset3[[#This Row],[Windspeed]]&lt;=0.5,"0.40-0.50",dataset3[[#This Row],[Windspeed]]&lt;=0.6,"0.50-0.60")</f>
        <v>0.10-0.20</v>
      </c>
      <c r="R6" s="1" t="str" cm="1">
        <f t="array" ref="R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7" spans="1:18" x14ac:dyDescent="0.25">
      <c r="A7" s="1">
        <v>625</v>
      </c>
      <c r="B7" s="3">
        <v>40572</v>
      </c>
      <c r="C7" s="1">
        <v>1</v>
      </c>
      <c r="D7" s="1">
        <v>7</v>
      </c>
      <c r="E7" s="1" t="s">
        <v>27</v>
      </c>
      <c r="F7" s="1">
        <v>6</v>
      </c>
      <c r="G7" s="1">
        <v>1</v>
      </c>
      <c r="H7" s="1" t="str">
        <f t="shared" si="0"/>
        <v>Saturday</v>
      </c>
      <c r="I7" s="1" t="str" cm="1">
        <f t="array" ref="I7">_xlfn.IFS(dataset3[[#This Row],[Weather sit]]=1,"1 Clear",dataset3[[#This Row],[Weather sit]]=2,"2 Misty/Cloudy",dataset3[[#This Row],[Weather sit]]=3,"3 Light Snow/Rain",dataset3[[#This Row],[Weather sit]]=4,"4 Heavy Snow/Rain")</f>
        <v>1 Clear</v>
      </c>
      <c r="J7" s="7">
        <v>0.16</v>
      </c>
      <c r="K7" s="7">
        <v>0.18179999999999999</v>
      </c>
      <c r="L7" s="7">
        <v>0.59</v>
      </c>
      <c r="M7" s="7">
        <v>0.1045</v>
      </c>
      <c r="N7" s="1">
        <v>1</v>
      </c>
      <c r="O7" s="1">
        <v>4</v>
      </c>
      <c r="P7" s="1">
        <v>5</v>
      </c>
      <c r="Q7" s="1" t="str" cm="1">
        <f t="array" ref="Q7">_xlfn.IFS(dataset3[[#This Row],[Windspeed]]&lt;=0.1,"0.00 -0.10",dataset3[[#This Row],[Windspeed]]&lt;=0.2,"0.10-0.20",dataset3[[#This Row],[Windspeed]]&lt;=0.3,"0.20-0.30",dataset3[[#This Row],[Windspeed]]&lt;=0.4,"0.30-0.40",dataset3[[#This Row],[Windspeed]]&lt;=0.5,"0.40-0.50",dataset3[[#This Row],[Windspeed]]&lt;=0.6,"0.50-0.60")</f>
        <v>0.10-0.20</v>
      </c>
      <c r="R7" s="1" t="str" cm="1">
        <f t="array" ref="R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8" spans="1:18" x14ac:dyDescent="0.25">
      <c r="A8" s="1">
        <v>626</v>
      </c>
      <c r="B8" s="3">
        <v>40572</v>
      </c>
      <c r="C8" s="1">
        <v>1</v>
      </c>
      <c r="D8" s="1">
        <v>8</v>
      </c>
      <c r="E8" s="1" t="s">
        <v>27</v>
      </c>
      <c r="F8" s="1">
        <v>6</v>
      </c>
      <c r="G8" s="1">
        <v>1</v>
      </c>
      <c r="H8" s="1" t="str">
        <f t="shared" si="0"/>
        <v>Saturday</v>
      </c>
      <c r="I8" s="1" t="str" cm="1">
        <f t="array" ref="I8">_xlfn.IFS(dataset3[[#This Row],[Weather sit]]=1,"1 Clear",dataset3[[#This Row],[Weather sit]]=2,"2 Misty/Cloudy",dataset3[[#This Row],[Weather sit]]=3,"3 Light Snow/Rain",dataset3[[#This Row],[Weather sit]]=4,"4 Heavy Snow/Rain")</f>
        <v>1 Clear</v>
      </c>
      <c r="J8" s="7">
        <v>0.18</v>
      </c>
      <c r="K8" s="7">
        <v>0.19700000000000001</v>
      </c>
      <c r="L8" s="7">
        <v>0.55000000000000004</v>
      </c>
      <c r="M8" s="7">
        <v>0.16420000000000001</v>
      </c>
      <c r="N8" s="1">
        <v>3</v>
      </c>
      <c r="O8" s="1">
        <v>31</v>
      </c>
      <c r="P8" s="1">
        <v>34</v>
      </c>
      <c r="Q8" s="1" t="str" cm="1">
        <f t="array" ref="Q8">_xlfn.IFS(dataset3[[#This Row],[Windspeed]]&lt;=0.1,"0.00 -0.10",dataset3[[#This Row],[Windspeed]]&lt;=0.2,"0.10-0.20",dataset3[[#This Row],[Windspeed]]&lt;=0.3,"0.20-0.30",dataset3[[#This Row],[Windspeed]]&lt;=0.4,"0.30-0.40",dataset3[[#This Row],[Windspeed]]&lt;=0.5,"0.40-0.50",dataset3[[#This Row],[Windspeed]]&lt;=0.6,"0.50-0.60")</f>
        <v>0.10-0.20</v>
      </c>
      <c r="R8" s="1" t="str" cm="1">
        <f t="array" ref="R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9" spans="1:18" x14ac:dyDescent="0.25">
      <c r="A9" s="1">
        <v>627</v>
      </c>
      <c r="B9" s="3">
        <v>40572</v>
      </c>
      <c r="C9" s="1">
        <v>1</v>
      </c>
      <c r="D9" s="1">
        <v>9</v>
      </c>
      <c r="E9" s="1" t="s">
        <v>27</v>
      </c>
      <c r="F9" s="1">
        <v>6</v>
      </c>
      <c r="G9" s="1">
        <v>1</v>
      </c>
      <c r="H9" s="1" t="str">
        <f t="shared" si="0"/>
        <v>Saturday</v>
      </c>
      <c r="I9" s="1" t="str" cm="1">
        <f t="array" ref="I9">_xlfn.IFS(dataset3[[#This Row],[Weather sit]]=1,"1 Clear",dataset3[[#This Row],[Weather sit]]=2,"2 Misty/Cloudy",dataset3[[#This Row],[Weather sit]]=3,"3 Light Snow/Rain",dataset3[[#This Row],[Weather sit]]=4,"4 Heavy Snow/Rain")</f>
        <v>1 Clear</v>
      </c>
      <c r="J9" s="7">
        <v>0.18</v>
      </c>
      <c r="K9" s="7">
        <v>0.21210000000000001</v>
      </c>
      <c r="L9" s="7">
        <v>0.59</v>
      </c>
      <c r="M9" s="7">
        <v>8.9599999999999999E-2</v>
      </c>
      <c r="N9" s="1">
        <v>0</v>
      </c>
      <c r="O9" s="1">
        <v>34</v>
      </c>
      <c r="P9" s="1">
        <v>34</v>
      </c>
      <c r="Q9" s="1" t="str" cm="1">
        <f t="array" ref="Q9">_xlfn.IFS(dataset3[[#This Row],[Windspeed]]&lt;=0.1,"0.00 -0.10",dataset3[[#This Row],[Windspeed]]&lt;=0.2,"0.10-0.20",dataset3[[#This Row],[Windspeed]]&lt;=0.3,"0.20-0.30",dataset3[[#This Row],[Windspeed]]&lt;=0.4,"0.30-0.40",dataset3[[#This Row],[Windspeed]]&lt;=0.5,"0.40-0.50",dataset3[[#This Row],[Windspeed]]&lt;=0.6,"0.50-0.60")</f>
        <v>0.00 -0.10</v>
      </c>
      <c r="R9" s="1" t="str" cm="1">
        <f t="array" ref="R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0" spans="1:18" x14ac:dyDescent="0.25">
      <c r="A10" s="1">
        <v>628</v>
      </c>
      <c r="B10" s="3">
        <v>40572</v>
      </c>
      <c r="C10" s="1">
        <v>1</v>
      </c>
      <c r="D10" s="1">
        <v>10</v>
      </c>
      <c r="E10" s="1" t="s">
        <v>27</v>
      </c>
      <c r="F10" s="1">
        <v>6</v>
      </c>
      <c r="G10" s="1">
        <v>2</v>
      </c>
      <c r="H10" s="1" t="str">
        <f t="shared" si="0"/>
        <v>Saturday</v>
      </c>
      <c r="I10" s="1" t="str" cm="1">
        <f t="array" ref="I10">_xlfn.IFS(dataset3[[#This Row],[Weather sit]]=1,"1 Clear",dataset3[[#This Row],[Weather sit]]=2,"2 Misty/Cloudy",dataset3[[#This Row],[Weather sit]]=3,"3 Light Snow/Rain",dataset3[[#This Row],[Weather sit]]=4,"4 Heavy Snow/Rain")</f>
        <v>2 Misty/Cloudy</v>
      </c>
      <c r="J10" s="7">
        <v>0.18</v>
      </c>
      <c r="K10" s="7">
        <v>0.21210000000000001</v>
      </c>
      <c r="L10" s="7">
        <v>0.64</v>
      </c>
      <c r="M10" s="7">
        <v>0.1045</v>
      </c>
      <c r="N10" s="1">
        <v>4</v>
      </c>
      <c r="O10" s="1">
        <v>51</v>
      </c>
      <c r="P10" s="1">
        <v>55</v>
      </c>
      <c r="Q10" s="1" t="str" cm="1">
        <f t="array" ref="Q10">_xlfn.IFS(dataset3[[#This Row],[Windspeed]]&lt;=0.1,"0.00 -0.10",dataset3[[#This Row],[Windspeed]]&lt;=0.2,"0.10-0.20",dataset3[[#This Row],[Windspeed]]&lt;=0.3,"0.20-0.30",dataset3[[#This Row],[Windspeed]]&lt;=0.4,"0.30-0.40",dataset3[[#This Row],[Windspeed]]&lt;=0.5,"0.40-0.50",dataset3[[#This Row],[Windspeed]]&lt;=0.6,"0.50-0.60")</f>
        <v>0.10-0.20</v>
      </c>
      <c r="R10" s="1" t="str" cm="1">
        <f t="array" ref="R1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1" spans="1:18" x14ac:dyDescent="0.25">
      <c r="A11" s="1">
        <v>629</v>
      </c>
      <c r="B11" s="3">
        <v>40572</v>
      </c>
      <c r="C11" s="1">
        <v>1</v>
      </c>
      <c r="D11" s="1">
        <v>11</v>
      </c>
      <c r="E11" s="1" t="s">
        <v>27</v>
      </c>
      <c r="F11" s="1">
        <v>6</v>
      </c>
      <c r="G11" s="1">
        <v>2</v>
      </c>
      <c r="H11" s="1" t="str">
        <f t="shared" si="0"/>
        <v>Saturday</v>
      </c>
      <c r="I11" s="1" t="str" cm="1">
        <f t="array" ref="I11">_xlfn.IFS(dataset3[[#This Row],[Weather sit]]=1,"1 Clear",dataset3[[#This Row],[Weather sit]]=2,"2 Misty/Cloudy",dataset3[[#This Row],[Weather sit]]=3,"3 Light Snow/Rain",dataset3[[#This Row],[Weather sit]]=4,"4 Heavy Snow/Rain")</f>
        <v>2 Misty/Cloudy</v>
      </c>
      <c r="J11" s="7">
        <v>0.18</v>
      </c>
      <c r="K11" s="7">
        <v>0.19700000000000001</v>
      </c>
      <c r="L11" s="7">
        <v>0.64</v>
      </c>
      <c r="M11" s="7">
        <v>0.1343</v>
      </c>
      <c r="N11" s="1">
        <v>4</v>
      </c>
      <c r="O11" s="1">
        <v>60</v>
      </c>
      <c r="P11" s="1">
        <v>64</v>
      </c>
      <c r="Q11" s="1" t="str" cm="1">
        <f t="array" ref="Q11">_xlfn.IFS(dataset3[[#This Row],[Windspeed]]&lt;=0.1,"0.00 -0.10",dataset3[[#This Row],[Windspeed]]&lt;=0.2,"0.10-0.20",dataset3[[#This Row],[Windspeed]]&lt;=0.3,"0.20-0.30",dataset3[[#This Row],[Windspeed]]&lt;=0.4,"0.30-0.40",dataset3[[#This Row],[Windspeed]]&lt;=0.5,"0.40-0.50",dataset3[[#This Row],[Windspeed]]&lt;=0.6,"0.50-0.60")</f>
        <v>0.10-0.20</v>
      </c>
      <c r="R11" s="1" t="str" cm="1">
        <f t="array" ref="R1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2" spans="1:18" x14ac:dyDescent="0.25">
      <c r="A12" s="1">
        <v>630</v>
      </c>
      <c r="B12" s="3">
        <v>40572</v>
      </c>
      <c r="C12" s="1">
        <v>1</v>
      </c>
      <c r="D12" s="1">
        <v>12</v>
      </c>
      <c r="E12" s="1" t="s">
        <v>27</v>
      </c>
      <c r="F12" s="1">
        <v>6</v>
      </c>
      <c r="G12" s="1">
        <v>2</v>
      </c>
      <c r="H12" s="1" t="str">
        <f t="shared" si="0"/>
        <v>Saturday</v>
      </c>
      <c r="I12" s="1" t="str" cm="1">
        <f t="array" ref="I12">_xlfn.IFS(dataset3[[#This Row],[Weather sit]]=1,"1 Clear",dataset3[[#This Row],[Weather sit]]=2,"2 Misty/Cloudy",dataset3[[#This Row],[Weather sit]]=3,"3 Light Snow/Rain",dataset3[[#This Row],[Weather sit]]=4,"4 Heavy Snow/Rain")</f>
        <v>2 Misty/Cloudy</v>
      </c>
      <c r="J12" s="7">
        <v>0.2</v>
      </c>
      <c r="K12" s="7">
        <v>0.19700000000000001</v>
      </c>
      <c r="L12" s="7">
        <v>0.59</v>
      </c>
      <c r="M12" s="7">
        <v>0.19400000000000001</v>
      </c>
      <c r="N12" s="1">
        <v>12</v>
      </c>
      <c r="O12" s="1">
        <v>66</v>
      </c>
      <c r="P12" s="1">
        <v>78</v>
      </c>
      <c r="Q12" s="1" t="str" cm="1">
        <f t="array" ref="Q12">_xlfn.IFS(dataset3[[#This Row],[Windspeed]]&lt;=0.1,"0.00 -0.10",dataset3[[#This Row],[Windspeed]]&lt;=0.2,"0.10-0.20",dataset3[[#This Row],[Windspeed]]&lt;=0.3,"0.20-0.30",dataset3[[#This Row],[Windspeed]]&lt;=0.4,"0.30-0.40",dataset3[[#This Row],[Windspeed]]&lt;=0.5,"0.40-0.50",dataset3[[#This Row],[Windspeed]]&lt;=0.6,"0.50-0.60")</f>
        <v>0.10-0.20</v>
      </c>
      <c r="R12" s="1" t="str" cm="1">
        <f t="array" ref="R1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3" spans="1:18" x14ac:dyDescent="0.25">
      <c r="A13" s="1">
        <v>631</v>
      </c>
      <c r="B13" s="3">
        <v>40572</v>
      </c>
      <c r="C13" s="1">
        <v>1</v>
      </c>
      <c r="D13" s="1">
        <v>13</v>
      </c>
      <c r="E13" s="1" t="s">
        <v>27</v>
      </c>
      <c r="F13" s="1">
        <v>6</v>
      </c>
      <c r="G13" s="1">
        <v>2</v>
      </c>
      <c r="H13" s="1" t="str">
        <f t="shared" si="0"/>
        <v>Saturday</v>
      </c>
      <c r="I13" s="1" t="str" cm="1">
        <f t="array" ref="I13">_xlfn.IFS(dataset3[[#This Row],[Weather sit]]=1,"1 Clear",dataset3[[#This Row],[Weather sit]]=2,"2 Misty/Cloudy",dataset3[[#This Row],[Weather sit]]=3,"3 Light Snow/Rain",dataset3[[#This Row],[Weather sit]]=4,"4 Heavy Snow/Rain")</f>
        <v>2 Misty/Cloudy</v>
      </c>
      <c r="J13" s="7">
        <v>0.22</v>
      </c>
      <c r="K13" s="7">
        <v>0.2273</v>
      </c>
      <c r="L13" s="7">
        <v>0.55000000000000004</v>
      </c>
      <c r="M13" s="7">
        <v>0.16420000000000001</v>
      </c>
      <c r="N13" s="1">
        <v>9</v>
      </c>
      <c r="O13" s="1">
        <v>56</v>
      </c>
      <c r="P13" s="1">
        <v>65</v>
      </c>
      <c r="Q13" s="1" t="str" cm="1">
        <f t="array" ref="Q13">_xlfn.IFS(dataset3[[#This Row],[Windspeed]]&lt;=0.1,"0.00 -0.10",dataset3[[#This Row],[Windspeed]]&lt;=0.2,"0.10-0.20",dataset3[[#This Row],[Windspeed]]&lt;=0.3,"0.20-0.30",dataset3[[#This Row],[Windspeed]]&lt;=0.4,"0.30-0.40",dataset3[[#This Row],[Windspeed]]&lt;=0.5,"0.40-0.50",dataset3[[#This Row],[Windspeed]]&lt;=0.6,"0.50-0.60")</f>
        <v>0.10-0.20</v>
      </c>
      <c r="R13" s="1" t="str" cm="1">
        <f t="array" ref="R1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4" spans="1:18" x14ac:dyDescent="0.25">
      <c r="A14" s="1">
        <v>632</v>
      </c>
      <c r="B14" s="3">
        <v>40572</v>
      </c>
      <c r="C14" s="1">
        <v>1</v>
      </c>
      <c r="D14" s="1">
        <v>14</v>
      </c>
      <c r="E14" s="1" t="s">
        <v>27</v>
      </c>
      <c r="F14" s="1">
        <v>6</v>
      </c>
      <c r="G14" s="1">
        <v>2</v>
      </c>
      <c r="H14" s="1" t="str">
        <f t="shared" si="0"/>
        <v>Saturday</v>
      </c>
      <c r="I14" s="1" t="str" cm="1">
        <f t="array" ref="I14">_xlfn.IFS(dataset3[[#This Row],[Weather sit]]=1,"1 Clear",dataset3[[#This Row],[Weather sit]]=2,"2 Misty/Cloudy",dataset3[[#This Row],[Weather sit]]=3,"3 Light Snow/Rain",dataset3[[#This Row],[Weather sit]]=4,"4 Heavy Snow/Rain")</f>
        <v>2 Misty/Cloudy</v>
      </c>
      <c r="J14" s="7">
        <v>0.22</v>
      </c>
      <c r="K14" s="7">
        <v>0.2273</v>
      </c>
      <c r="L14" s="7">
        <v>0.6</v>
      </c>
      <c r="M14" s="7">
        <v>0.1343</v>
      </c>
      <c r="N14" s="1">
        <v>10</v>
      </c>
      <c r="O14" s="1">
        <v>89</v>
      </c>
      <c r="P14" s="1">
        <v>99</v>
      </c>
      <c r="Q14" s="1" t="str" cm="1">
        <f t="array" ref="Q14">_xlfn.IFS(dataset3[[#This Row],[Windspeed]]&lt;=0.1,"0.00 -0.10",dataset3[[#This Row],[Windspeed]]&lt;=0.2,"0.10-0.20",dataset3[[#This Row],[Windspeed]]&lt;=0.3,"0.20-0.30",dataset3[[#This Row],[Windspeed]]&lt;=0.4,"0.30-0.40",dataset3[[#This Row],[Windspeed]]&lt;=0.5,"0.40-0.50",dataset3[[#This Row],[Windspeed]]&lt;=0.6,"0.50-0.60")</f>
        <v>0.10-0.20</v>
      </c>
      <c r="R14" s="1" t="str" cm="1">
        <f t="array" ref="R1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5" spans="1:18" x14ac:dyDescent="0.25">
      <c r="A15" s="1">
        <v>633</v>
      </c>
      <c r="B15" s="3">
        <v>40572</v>
      </c>
      <c r="C15" s="1">
        <v>1</v>
      </c>
      <c r="D15" s="1">
        <v>15</v>
      </c>
      <c r="E15" s="1" t="s">
        <v>27</v>
      </c>
      <c r="F15" s="1">
        <v>6</v>
      </c>
      <c r="G15" s="1">
        <v>1</v>
      </c>
      <c r="H15" s="1" t="str">
        <f t="shared" si="0"/>
        <v>Saturday</v>
      </c>
      <c r="I15" s="1" t="str" cm="1">
        <f t="array" ref="I15">_xlfn.IFS(dataset3[[#This Row],[Weather sit]]=1,"1 Clear",dataset3[[#This Row],[Weather sit]]=2,"2 Misty/Cloudy",dataset3[[#This Row],[Weather sit]]=3,"3 Light Snow/Rain",dataset3[[#This Row],[Weather sit]]=4,"4 Heavy Snow/Rain")</f>
        <v>1 Clear</v>
      </c>
      <c r="J15" s="7">
        <v>0.22</v>
      </c>
      <c r="K15" s="7">
        <v>0.21210000000000001</v>
      </c>
      <c r="L15" s="7">
        <v>0.69</v>
      </c>
      <c r="M15" s="7">
        <v>0.25369999999999998</v>
      </c>
      <c r="N15" s="1">
        <v>22</v>
      </c>
      <c r="O15" s="1">
        <v>98</v>
      </c>
      <c r="P15" s="1">
        <v>120</v>
      </c>
      <c r="Q15" s="1" t="str" cm="1">
        <f t="array" ref="Q15">_xlfn.IFS(dataset3[[#This Row],[Windspeed]]&lt;=0.1,"0.00 -0.10",dataset3[[#This Row],[Windspeed]]&lt;=0.2,"0.10-0.20",dataset3[[#This Row],[Windspeed]]&lt;=0.3,"0.20-0.30",dataset3[[#This Row],[Windspeed]]&lt;=0.4,"0.30-0.40",dataset3[[#This Row],[Windspeed]]&lt;=0.5,"0.40-0.50",dataset3[[#This Row],[Windspeed]]&lt;=0.6,"0.50-0.60")</f>
        <v>0.20-0.30</v>
      </c>
      <c r="R15" s="1" t="str" cm="1">
        <f t="array" ref="R1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6" spans="1:18" x14ac:dyDescent="0.25">
      <c r="A16" s="1">
        <v>634</v>
      </c>
      <c r="B16" s="3">
        <v>40572</v>
      </c>
      <c r="C16" s="1">
        <v>1</v>
      </c>
      <c r="D16" s="1">
        <v>16</v>
      </c>
      <c r="E16" s="1" t="s">
        <v>27</v>
      </c>
      <c r="F16" s="1">
        <v>6</v>
      </c>
      <c r="G16" s="1">
        <v>1</v>
      </c>
      <c r="H16" s="1" t="str">
        <f t="shared" si="0"/>
        <v>Saturday</v>
      </c>
      <c r="I16" s="1" t="str" cm="1">
        <f t="array" ref="I16">_xlfn.IFS(dataset3[[#This Row],[Weather sit]]=1,"1 Clear",dataset3[[#This Row],[Weather sit]]=2,"2 Misty/Cloudy",dataset3[[#This Row],[Weather sit]]=3,"3 Light Snow/Rain",dataset3[[#This Row],[Weather sit]]=4,"4 Heavy Snow/Rain")</f>
        <v>1 Clear</v>
      </c>
      <c r="J16" s="7">
        <v>0.24</v>
      </c>
      <c r="K16" s="7">
        <v>0.2424</v>
      </c>
      <c r="L16" s="7">
        <v>0.6</v>
      </c>
      <c r="M16" s="7">
        <v>0.16420000000000001</v>
      </c>
      <c r="N16" s="1">
        <v>19</v>
      </c>
      <c r="O16" s="1">
        <v>88</v>
      </c>
      <c r="P16" s="1">
        <v>107</v>
      </c>
      <c r="Q16" s="1" t="str" cm="1">
        <f t="array" ref="Q16">_xlfn.IFS(dataset3[[#This Row],[Windspeed]]&lt;=0.1,"0.00 -0.10",dataset3[[#This Row],[Windspeed]]&lt;=0.2,"0.10-0.20",dataset3[[#This Row],[Windspeed]]&lt;=0.3,"0.20-0.30",dataset3[[#This Row],[Windspeed]]&lt;=0.4,"0.30-0.40",dataset3[[#This Row],[Windspeed]]&lt;=0.5,"0.40-0.50",dataset3[[#This Row],[Windspeed]]&lt;=0.6,"0.50-0.60")</f>
        <v>0.10-0.20</v>
      </c>
      <c r="R16" s="1" t="str" cm="1">
        <f t="array" ref="R1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7" spans="1:18" x14ac:dyDescent="0.25">
      <c r="A17" s="1">
        <v>635</v>
      </c>
      <c r="B17" s="3">
        <v>40572</v>
      </c>
      <c r="C17" s="1">
        <v>1</v>
      </c>
      <c r="D17" s="1">
        <v>17</v>
      </c>
      <c r="E17" s="1" t="s">
        <v>27</v>
      </c>
      <c r="F17" s="1">
        <v>6</v>
      </c>
      <c r="G17" s="1">
        <v>1</v>
      </c>
      <c r="H17" s="1" t="str">
        <f t="shared" si="0"/>
        <v>Saturday</v>
      </c>
      <c r="I17" s="1" t="str" cm="1">
        <f t="array" ref="I17">_xlfn.IFS(dataset3[[#This Row],[Weather sit]]=1,"1 Clear",dataset3[[#This Row],[Weather sit]]=2,"2 Misty/Cloudy",dataset3[[#This Row],[Weather sit]]=3,"3 Light Snow/Rain",dataset3[[#This Row],[Weather sit]]=4,"4 Heavy Snow/Rain")</f>
        <v>1 Clear</v>
      </c>
      <c r="J17" s="7">
        <v>0.24</v>
      </c>
      <c r="K17" s="7">
        <v>0.28789999999999999</v>
      </c>
      <c r="L17" s="7">
        <v>0.6</v>
      </c>
      <c r="M17" s="7">
        <v>0</v>
      </c>
      <c r="N17" s="1">
        <v>9</v>
      </c>
      <c r="O17" s="1">
        <v>82</v>
      </c>
      <c r="P17" s="1">
        <v>91</v>
      </c>
      <c r="Q17" s="1" t="str" cm="1">
        <f t="array" ref="Q17">_xlfn.IFS(dataset3[[#This Row],[Windspeed]]&lt;=0.1,"0.00 -0.10",dataset3[[#This Row],[Windspeed]]&lt;=0.2,"0.10-0.20",dataset3[[#This Row],[Windspeed]]&lt;=0.3,"0.20-0.30",dataset3[[#This Row],[Windspeed]]&lt;=0.4,"0.30-0.40",dataset3[[#This Row],[Windspeed]]&lt;=0.5,"0.40-0.50",dataset3[[#This Row],[Windspeed]]&lt;=0.6,"0.50-0.60")</f>
        <v>0.00 -0.10</v>
      </c>
      <c r="R17" s="1" t="str" cm="1">
        <f t="array" ref="R1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8" spans="1:18" x14ac:dyDescent="0.25">
      <c r="A18" s="1">
        <v>636</v>
      </c>
      <c r="B18" s="3">
        <v>40572</v>
      </c>
      <c r="C18" s="1">
        <v>1</v>
      </c>
      <c r="D18" s="1">
        <v>18</v>
      </c>
      <c r="E18" s="1" t="s">
        <v>27</v>
      </c>
      <c r="F18" s="1">
        <v>6</v>
      </c>
      <c r="G18" s="1">
        <v>1</v>
      </c>
      <c r="H18" s="1" t="str">
        <f t="shared" si="0"/>
        <v>Saturday</v>
      </c>
      <c r="I18" s="1" t="str" cm="1">
        <f t="array" ref="I18">_xlfn.IFS(dataset3[[#This Row],[Weather sit]]=1,"1 Clear",dataset3[[#This Row],[Weather sit]]=2,"2 Misty/Cloudy",dataset3[[#This Row],[Weather sit]]=3,"3 Light Snow/Rain",dataset3[[#This Row],[Weather sit]]=4,"4 Heavy Snow/Rain")</f>
        <v>1 Clear</v>
      </c>
      <c r="J18" s="7">
        <v>0.22</v>
      </c>
      <c r="K18" s="7">
        <v>0.2273</v>
      </c>
      <c r="L18" s="7">
        <v>0.69</v>
      </c>
      <c r="M18" s="7">
        <v>0.1343</v>
      </c>
      <c r="N18" s="1">
        <v>9</v>
      </c>
      <c r="O18" s="1">
        <v>59</v>
      </c>
      <c r="P18" s="1">
        <v>68</v>
      </c>
      <c r="Q18" s="1" t="str" cm="1">
        <f t="array" ref="Q18">_xlfn.IFS(dataset3[[#This Row],[Windspeed]]&lt;=0.1,"0.00 -0.10",dataset3[[#This Row],[Windspeed]]&lt;=0.2,"0.10-0.20",dataset3[[#This Row],[Windspeed]]&lt;=0.3,"0.20-0.30",dataset3[[#This Row],[Windspeed]]&lt;=0.4,"0.30-0.40",dataset3[[#This Row],[Windspeed]]&lt;=0.5,"0.40-0.50",dataset3[[#This Row],[Windspeed]]&lt;=0.6,"0.50-0.60")</f>
        <v>0.10-0.20</v>
      </c>
      <c r="R18" s="1" t="str" cm="1">
        <f t="array" ref="R1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9" spans="1:18" x14ac:dyDescent="0.25">
      <c r="A19" s="1">
        <v>637</v>
      </c>
      <c r="B19" s="3">
        <v>40572</v>
      </c>
      <c r="C19" s="1">
        <v>1</v>
      </c>
      <c r="D19" s="1">
        <v>19</v>
      </c>
      <c r="E19" s="1" t="s">
        <v>27</v>
      </c>
      <c r="F19" s="1">
        <v>6</v>
      </c>
      <c r="G19" s="1">
        <v>2</v>
      </c>
      <c r="H19" s="1" t="str">
        <f t="shared" si="0"/>
        <v>Saturday</v>
      </c>
      <c r="I19" s="1" t="str" cm="1">
        <f t="array" ref="I19">_xlfn.IFS(dataset3[[#This Row],[Weather sit]]=1,"1 Clear",dataset3[[#This Row],[Weather sit]]=2,"2 Misty/Cloudy",dataset3[[#This Row],[Weather sit]]=3,"3 Light Snow/Rain",dataset3[[#This Row],[Weather sit]]=4,"4 Heavy Snow/Rain")</f>
        <v>2 Misty/Cloudy</v>
      </c>
      <c r="J19" s="7">
        <v>0.22</v>
      </c>
      <c r="K19" s="7">
        <v>0.21210000000000001</v>
      </c>
      <c r="L19" s="7">
        <v>0.69</v>
      </c>
      <c r="M19" s="7">
        <v>0.25369999999999998</v>
      </c>
      <c r="N19" s="1">
        <v>6</v>
      </c>
      <c r="O19" s="1">
        <v>52</v>
      </c>
      <c r="P19" s="1">
        <v>58</v>
      </c>
      <c r="Q19" s="1" t="str" cm="1">
        <f t="array" ref="Q19">_xlfn.IFS(dataset3[[#This Row],[Windspeed]]&lt;=0.1,"0.00 -0.10",dataset3[[#This Row],[Windspeed]]&lt;=0.2,"0.10-0.20",dataset3[[#This Row],[Windspeed]]&lt;=0.3,"0.20-0.30",dataset3[[#This Row],[Windspeed]]&lt;=0.4,"0.30-0.40",dataset3[[#This Row],[Windspeed]]&lt;=0.5,"0.40-0.50",dataset3[[#This Row],[Windspeed]]&lt;=0.6,"0.50-0.60")</f>
        <v>0.20-0.30</v>
      </c>
      <c r="R19" s="1" t="str" cm="1">
        <f t="array" ref="R1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20" spans="1:18" x14ac:dyDescent="0.25">
      <c r="A20" s="1">
        <v>638</v>
      </c>
      <c r="B20" s="3">
        <v>40572</v>
      </c>
      <c r="C20" s="1">
        <v>1</v>
      </c>
      <c r="D20" s="1">
        <v>20</v>
      </c>
      <c r="E20" s="1" t="s">
        <v>27</v>
      </c>
      <c r="F20" s="1">
        <v>6</v>
      </c>
      <c r="G20" s="1">
        <v>1</v>
      </c>
      <c r="H20" s="1" t="str">
        <f t="shared" si="0"/>
        <v>Saturday</v>
      </c>
      <c r="I20" s="1" t="str" cm="1">
        <f t="array" ref="I20">_xlfn.IFS(dataset3[[#This Row],[Weather sit]]=1,"1 Clear",dataset3[[#This Row],[Weather sit]]=2,"2 Misty/Cloudy",dataset3[[#This Row],[Weather sit]]=3,"3 Light Snow/Rain",dataset3[[#This Row],[Weather sit]]=4,"4 Heavy Snow/Rain")</f>
        <v>1 Clear</v>
      </c>
      <c r="J20" s="7">
        <v>0.18</v>
      </c>
      <c r="K20" s="7">
        <v>0.21210000000000001</v>
      </c>
      <c r="L20" s="7">
        <v>0.74</v>
      </c>
      <c r="M20" s="7">
        <v>8.9599999999999999E-2</v>
      </c>
      <c r="N20" s="1">
        <v>1</v>
      </c>
      <c r="O20" s="1">
        <v>42</v>
      </c>
      <c r="P20" s="1">
        <v>43</v>
      </c>
      <c r="Q20" s="1" t="str" cm="1">
        <f t="array" ref="Q20">_xlfn.IFS(dataset3[[#This Row],[Windspeed]]&lt;=0.1,"0.00 -0.10",dataset3[[#This Row],[Windspeed]]&lt;=0.2,"0.10-0.20",dataset3[[#This Row],[Windspeed]]&lt;=0.3,"0.20-0.30",dataset3[[#This Row],[Windspeed]]&lt;=0.4,"0.30-0.40",dataset3[[#This Row],[Windspeed]]&lt;=0.5,"0.40-0.50",dataset3[[#This Row],[Windspeed]]&lt;=0.6,"0.50-0.60")</f>
        <v>0.00 -0.10</v>
      </c>
      <c r="R20" s="1" t="str" cm="1">
        <f t="array" ref="R2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1" spans="1:18" x14ac:dyDescent="0.25">
      <c r="A21" s="1">
        <v>639</v>
      </c>
      <c r="B21" s="3">
        <v>40572</v>
      </c>
      <c r="C21" s="1">
        <v>1</v>
      </c>
      <c r="D21" s="1">
        <v>21</v>
      </c>
      <c r="E21" s="1" t="s">
        <v>27</v>
      </c>
      <c r="F21" s="1">
        <v>6</v>
      </c>
      <c r="G21" s="1">
        <v>1</v>
      </c>
      <c r="H21" s="1" t="str">
        <f t="shared" si="0"/>
        <v>Saturday</v>
      </c>
      <c r="I21" s="1" t="str" cm="1">
        <f t="array" ref="I21">_xlfn.IFS(dataset3[[#This Row],[Weather sit]]=1,"1 Clear",dataset3[[#This Row],[Weather sit]]=2,"2 Misty/Cloudy",dataset3[[#This Row],[Weather sit]]=3,"3 Light Snow/Rain",dataset3[[#This Row],[Weather sit]]=4,"4 Heavy Snow/Rain")</f>
        <v>1 Clear</v>
      </c>
      <c r="J21" s="7">
        <v>0.18</v>
      </c>
      <c r="K21" s="7">
        <v>0.21210000000000001</v>
      </c>
      <c r="L21" s="7">
        <v>0.74</v>
      </c>
      <c r="M21" s="7">
        <v>8.9599999999999999E-2</v>
      </c>
      <c r="N21" s="1">
        <v>1</v>
      </c>
      <c r="O21" s="1">
        <v>35</v>
      </c>
      <c r="P21" s="1">
        <v>36</v>
      </c>
      <c r="Q21" s="1" t="str" cm="1">
        <f t="array" ref="Q21">_xlfn.IFS(dataset3[[#This Row],[Windspeed]]&lt;=0.1,"0.00 -0.10",dataset3[[#This Row],[Windspeed]]&lt;=0.2,"0.10-0.20",dataset3[[#This Row],[Windspeed]]&lt;=0.3,"0.20-0.30",dataset3[[#This Row],[Windspeed]]&lt;=0.4,"0.30-0.40",dataset3[[#This Row],[Windspeed]]&lt;=0.5,"0.40-0.50",dataset3[[#This Row],[Windspeed]]&lt;=0.6,"0.50-0.60")</f>
        <v>0.00 -0.10</v>
      </c>
      <c r="R21" s="1" t="str" cm="1">
        <f t="array" ref="R2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2" spans="1:18" x14ac:dyDescent="0.25">
      <c r="A22" s="1">
        <v>640</v>
      </c>
      <c r="B22" s="3">
        <v>40572</v>
      </c>
      <c r="C22" s="1">
        <v>1</v>
      </c>
      <c r="D22" s="1">
        <v>22</v>
      </c>
      <c r="E22" s="1" t="s">
        <v>27</v>
      </c>
      <c r="F22" s="1">
        <v>6</v>
      </c>
      <c r="G22" s="1">
        <v>1</v>
      </c>
      <c r="H22" s="1" t="str">
        <f t="shared" si="0"/>
        <v>Saturday</v>
      </c>
      <c r="I22" s="1" t="str" cm="1">
        <f t="array" ref="I22">_xlfn.IFS(dataset3[[#This Row],[Weather sit]]=1,"1 Clear",dataset3[[#This Row],[Weather sit]]=2,"2 Misty/Cloudy",dataset3[[#This Row],[Weather sit]]=3,"3 Light Snow/Rain",dataset3[[#This Row],[Weather sit]]=4,"4 Heavy Snow/Rain")</f>
        <v>1 Clear</v>
      </c>
      <c r="J22" s="7">
        <v>0.16</v>
      </c>
      <c r="K22" s="7">
        <v>0.19700000000000001</v>
      </c>
      <c r="L22" s="7">
        <v>0.8</v>
      </c>
      <c r="M22" s="7">
        <v>8.9599999999999999E-2</v>
      </c>
      <c r="N22" s="1">
        <v>4</v>
      </c>
      <c r="O22" s="1">
        <v>28</v>
      </c>
      <c r="P22" s="1">
        <v>32</v>
      </c>
      <c r="Q22" s="1" t="str" cm="1">
        <f t="array" ref="Q22">_xlfn.IFS(dataset3[[#This Row],[Windspeed]]&lt;=0.1,"0.00 -0.10",dataset3[[#This Row],[Windspeed]]&lt;=0.2,"0.10-0.20",dataset3[[#This Row],[Windspeed]]&lt;=0.3,"0.20-0.30",dataset3[[#This Row],[Windspeed]]&lt;=0.4,"0.30-0.40",dataset3[[#This Row],[Windspeed]]&lt;=0.5,"0.40-0.50",dataset3[[#This Row],[Windspeed]]&lt;=0.6,"0.50-0.60")</f>
        <v>0.00 -0.10</v>
      </c>
      <c r="R22" s="1" t="str" cm="1">
        <f t="array" ref="R2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3" spans="1:18" x14ac:dyDescent="0.25">
      <c r="A23" s="1">
        <v>641</v>
      </c>
      <c r="B23" s="3">
        <v>40572</v>
      </c>
      <c r="C23" s="1">
        <v>1</v>
      </c>
      <c r="D23" s="1">
        <v>23</v>
      </c>
      <c r="E23" s="1" t="s">
        <v>27</v>
      </c>
      <c r="F23" s="1">
        <v>6</v>
      </c>
      <c r="G23" s="1">
        <v>1</v>
      </c>
      <c r="H23" s="1" t="str">
        <f t="shared" si="0"/>
        <v>Saturday</v>
      </c>
      <c r="I23" s="1" t="str" cm="1">
        <f t="array" ref="I23">_xlfn.IFS(dataset3[[#This Row],[Weather sit]]=1,"1 Clear",dataset3[[#This Row],[Weather sit]]=2,"2 Misty/Cloudy",dataset3[[#This Row],[Weather sit]]=3,"3 Light Snow/Rain",dataset3[[#This Row],[Weather sit]]=4,"4 Heavy Snow/Rain")</f>
        <v>1 Clear</v>
      </c>
      <c r="J23" s="7">
        <v>0.16</v>
      </c>
      <c r="K23" s="7">
        <v>0.19700000000000001</v>
      </c>
      <c r="L23" s="7">
        <v>0.8</v>
      </c>
      <c r="M23" s="7">
        <v>8.9599999999999999E-2</v>
      </c>
      <c r="N23" s="1">
        <v>3</v>
      </c>
      <c r="O23" s="1">
        <v>30</v>
      </c>
      <c r="P23" s="1">
        <v>33</v>
      </c>
      <c r="Q23" s="1" t="str" cm="1">
        <f t="array" ref="Q23">_xlfn.IFS(dataset3[[#This Row],[Windspeed]]&lt;=0.1,"0.00 -0.10",dataset3[[#This Row],[Windspeed]]&lt;=0.2,"0.10-0.20",dataset3[[#This Row],[Windspeed]]&lt;=0.3,"0.20-0.30",dataset3[[#This Row],[Windspeed]]&lt;=0.4,"0.30-0.40",dataset3[[#This Row],[Windspeed]]&lt;=0.5,"0.40-0.50",dataset3[[#This Row],[Windspeed]]&lt;=0.6,"0.50-0.60")</f>
        <v>0.00 -0.10</v>
      </c>
      <c r="R23" s="1" t="str" cm="1">
        <f t="array" ref="R2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4" spans="1:18" x14ac:dyDescent="0.25">
      <c r="A24" s="1">
        <v>642</v>
      </c>
      <c r="B24" s="3">
        <v>40573</v>
      </c>
      <c r="C24" s="1">
        <v>1</v>
      </c>
      <c r="D24" s="1">
        <v>0</v>
      </c>
      <c r="E24" s="1" t="s">
        <v>27</v>
      </c>
      <c r="F24" s="1">
        <v>0</v>
      </c>
      <c r="G24" s="1">
        <v>1</v>
      </c>
      <c r="H24" s="1" t="str">
        <f t="shared" si="0"/>
        <v>Sunday</v>
      </c>
      <c r="I24" s="1" t="str" cm="1">
        <f t="array" ref="I24">_xlfn.IFS(dataset3[[#This Row],[Weather sit]]=1,"1 Clear",dataset3[[#This Row],[Weather sit]]=2,"2 Misty/Cloudy",dataset3[[#This Row],[Weather sit]]=3,"3 Light Snow/Rain",dataset3[[#This Row],[Weather sit]]=4,"4 Heavy Snow/Rain")</f>
        <v>1 Clear</v>
      </c>
      <c r="J24" s="7">
        <v>0.16</v>
      </c>
      <c r="K24" s="7">
        <v>0.18179999999999999</v>
      </c>
      <c r="L24" s="7">
        <v>0.8</v>
      </c>
      <c r="M24" s="7">
        <v>0.1045</v>
      </c>
      <c r="N24" s="1">
        <v>0</v>
      </c>
      <c r="O24" s="1">
        <v>33</v>
      </c>
      <c r="P24" s="1">
        <v>33</v>
      </c>
      <c r="Q24" s="1" t="str" cm="1">
        <f t="array" ref="Q24">_xlfn.IFS(dataset3[[#This Row],[Windspeed]]&lt;=0.1,"0.00 -0.10",dataset3[[#This Row],[Windspeed]]&lt;=0.2,"0.10-0.20",dataset3[[#This Row],[Windspeed]]&lt;=0.3,"0.20-0.30",dataset3[[#This Row],[Windspeed]]&lt;=0.4,"0.30-0.40",dataset3[[#This Row],[Windspeed]]&lt;=0.5,"0.40-0.50",dataset3[[#This Row],[Windspeed]]&lt;=0.6,"0.50-0.60")</f>
        <v>0.10-0.20</v>
      </c>
      <c r="R24" s="1" t="str" cm="1">
        <f t="array" ref="R2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5" spans="1:18" x14ac:dyDescent="0.25">
      <c r="A25" s="1">
        <v>643</v>
      </c>
      <c r="B25" s="3">
        <v>40573</v>
      </c>
      <c r="C25" s="1">
        <v>1</v>
      </c>
      <c r="D25" s="1">
        <v>1</v>
      </c>
      <c r="E25" s="1" t="s">
        <v>27</v>
      </c>
      <c r="F25" s="1">
        <v>0</v>
      </c>
      <c r="G25" s="1">
        <v>1</v>
      </c>
      <c r="H25" s="1" t="str">
        <f t="shared" si="0"/>
        <v>Sunday</v>
      </c>
      <c r="I25" s="1" t="str" cm="1">
        <f t="array" ref="I25">_xlfn.IFS(dataset3[[#This Row],[Weather sit]]=1,"1 Clear",dataset3[[#This Row],[Weather sit]]=2,"2 Misty/Cloudy",dataset3[[#This Row],[Weather sit]]=3,"3 Light Snow/Rain",dataset3[[#This Row],[Weather sit]]=4,"4 Heavy Snow/Rain")</f>
        <v>1 Clear</v>
      </c>
      <c r="J25" s="7">
        <v>0.14000000000000001</v>
      </c>
      <c r="K25" s="7">
        <v>0.21210000000000001</v>
      </c>
      <c r="L25" s="7">
        <v>0.8</v>
      </c>
      <c r="M25" s="7">
        <v>0</v>
      </c>
      <c r="N25" s="1">
        <v>7</v>
      </c>
      <c r="O25" s="1">
        <v>22</v>
      </c>
      <c r="P25" s="1">
        <v>29</v>
      </c>
      <c r="Q25" s="1" t="str" cm="1">
        <f t="array" ref="Q25">_xlfn.IFS(dataset3[[#This Row],[Windspeed]]&lt;=0.1,"0.00 -0.10",dataset3[[#This Row],[Windspeed]]&lt;=0.2,"0.10-0.20",dataset3[[#This Row],[Windspeed]]&lt;=0.3,"0.20-0.30",dataset3[[#This Row],[Windspeed]]&lt;=0.4,"0.30-0.40",dataset3[[#This Row],[Windspeed]]&lt;=0.5,"0.40-0.50",dataset3[[#This Row],[Windspeed]]&lt;=0.6,"0.50-0.60")</f>
        <v>0.00 -0.10</v>
      </c>
      <c r="R25" s="1" t="str" cm="1">
        <f t="array" ref="R2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6" spans="1:18" x14ac:dyDescent="0.25">
      <c r="A26" s="1">
        <v>644</v>
      </c>
      <c r="B26" s="3">
        <v>40573</v>
      </c>
      <c r="C26" s="1">
        <v>1</v>
      </c>
      <c r="D26" s="1">
        <v>2</v>
      </c>
      <c r="E26" s="1" t="s">
        <v>27</v>
      </c>
      <c r="F26" s="1">
        <v>0</v>
      </c>
      <c r="G26" s="1">
        <v>1</v>
      </c>
      <c r="H26" s="1" t="str">
        <f t="shared" si="0"/>
        <v>Sunday</v>
      </c>
      <c r="I26" s="1" t="str" cm="1">
        <f t="array" ref="I26">_xlfn.IFS(dataset3[[#This Row],[Weather sit]]=1,"1 Clear",dataset3[[#This Row],[Weather sit]]=2,"2 Misty/Cloudy",dataset3[[#This Row],[Weather sit]]=3,"3 Light Snow/Rain",dataset3[[#This Row],[Weather sit]]=4,"4 Heavy Snow/Rain")</f>
        <v>1 Clear</v>
      </c>
      <c r="J26" s="7">
        <v>0.16</v>
      </c>
      <c r="K26" s="7">
        <v>0.2273</v>
      </c>
      <c r="L26" s="7">
        <v>0.8</v>
      </c>
      <c r="M26" s="7">
        <v>0</v>
      </c>
      <c r="N26" s="1">
        <v>1</v>
      </c>
      <c r="O26" s="1">
        <v>10</v>
      </c>
      <c r="P26" s="1">
        <v>11</v>
      </c>
      <c r="Q26" s="1" t="str" cm="1">
        <f t="array" ref="Q26">_xlfn.IFS(dataset3[[#This Row],[Windspeed]]&lt;=0.1,"0.00 -0.10",dataset3[[#This Row],[Windspeed]]&lt;=0.2,"0.10-0.20",dataset3[[#This Row],[Windspeed]]&lt;=0.3,"0.20-0.30",dataset3[[#This Row],[Windspeed]]&lt;=0.4,"0.30-0.40",dataset3[[#This Row],[Windspeed]]&lt;=0.5,"0.40-0.50",dataset3[[#This Row],[Windspeed]]&lt;=0.6,"0.50-0.60")</f>
        <v>0.00 -0.10</v>
      </c>
      <c r="R26" s="1" t="str" cm="1">
        <f t="array" ref="R2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7" spans="1:18" x14ac:dyDescent="0.25">
      <c r="A27" s="1">
        <v>645</v>
      </c>
      <c r="B27" s="3">
        <v>40573</v>
      </c>
      <c r="C27" s="1">
        <v>1</v>
      </c>
      <c r="D27" s="1">
        <v>3</v>
      </c>
      <c r="E27" s="1" t="s">
        <v>27</v>
      </c>
      <c r="F27" s="1">
        <v>0</v>
      </c>
      <c r="G27" s="1">
        <v>1</v>
      </c>
      <c r="H27" s="1" t="str">
        <f t="shared" si="0"/>
        <v>Sunday</v>
      </c>
      <c r="I27" s="1" t="str" cm="1">
        <f t="array" ref="I27">_xlfn.IFS(dataset3[[#This Row],[Weather sit]]=1,"1 Clear",dataset3[[#This Row],[Weather sit]]=2,"2 Misty/Cloudy",dataset3[[#This Row],[Weather sit]]=3,"3 Light Snow/Rain",dataset3[[#This Row],[Weather sit]]=4,"4 Heavy Snow/Rain")</f>
        <v>1 Clear</v>
      </c>
      <c r="J27" s="7">
        <v>0.14000000000000001</v>
      </c>
      <c r="K27" s="7">
        <v>0.21210000000000001</v>
      </c>
      <c r="L27" s="7">
        <v>0.93</v>
      </c>
      <c r="M27" s="7">
        <v>0</v>
      </c>
      <c r="N27" s="1">
        <v>1</v>
      </c>
      <c r="O27" s="1">
        <v>7</v>
      </c>
      <c r="P27" s="1">
        <v>8</v>
      </c>
      <c r="Q27" s="1" t="str" cm="1">
        <f t="array" ref="Q27">_xlfn.IFS(dataset3[[#This Row],[Windspeed]]&lt;=0.1,"0.00 -0.10",dataset3[[#This Row],[Windspeed]]&lt;=0.2,"0.10-0.20",dataset3[[#This Row],[Windspeed]]&lt;=0.3,"0.20-0.30",dataset3[[#This Row],[Windspeed]]&lt;=0.4,"0.30-0.40",dataset3[[#This Row],[Windspeed]]&lt;=0.5,"0.40-0.50",dataset3[[#This Row],[Windspeed]]&lt;=0.6,"0.50-0.60")</f>
        <v>0.00 -0.10</v>
      </c>
      <c r="R27" s="1" t="str" cm="1">
        <f t="array" ref="R2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28" spans="1:18" x14ac:dyDescent="0.25">
      <c r="A28" s="1">
        <v>646</v>
      </c>
      <c r="B28" s="3">
        <v>40573</v>
      </c>
      <c r="C28" s="1">
        <v>1</v>
      </c>
      <c r="D28" s="1">
        <v>4</v>
      </c>
      <c r="E28" s="1" t="s">
        <v>27</v>
      </c>
      <c r="F28" s="1">
        <v>0</v>
      </c>
      <c r="G28" s="1">
        <v>1</v>
      </c>
      <c r="H28" s="1" t="str">
        <f t="shared" si="0"/>
        <v>Sunday</v>
      </c>
      <c r="I28" s="1" t="str" cm="1">
        <f t="array" ref="I28">_xlfn.IFS(dataset3[[#This Row],[Weather sit]]=1,"1 Clear",dataset3[[#This Row],[Weather sit]]=2,"2 Misty/Cloudy",dataset3[[#This Row],[Weather sit]]=3,"3 Light Snow/Rain",dataset3[[#This Row],[Weather sit]]=4,"4 Heavy Snow/Rain")</f>
        <v>1 Clear</v>
      </c>
      <c r="J28" s="7">
        <v>0.14000000000000001</v>
      </c>
      <c r="K28" s="7">
        <v>0.21210000000000001</v>
      </c>
      <c r="L28" s="7">
        <v>0.93</v>
      </c>
      <c r="M28" s="7">
        <v>0</v>
      </c>
      <c r="N28" s="1">
        <v>0</v>
      </c>
      <c r="O28" s="1">
        <v>1</v>
      </c>
      <c r="P28" s="1">
        <v>1</v>
      </c>
      <c r="Q28" s="1" t="str" cm="1">
        <f t="array" ref="Q28">_xlfn.IFS(dataset3[[#This Row],[Windspeed]]&lt;=0.1,"0.00 -0.10",dataset3[[#This Row],[Windspeed]]&lt;=0.2,"0.10-0.20",dataset3[[#This Row],[Windspeed]]&lt;=0.3,"0.20-0.30",dataset3[[#This Row],[Windspeed]]&lt;=0.4,"0.30-0.40",dataset3[[#This Row],[Windspeed]]&lt;=0.5,"0.40-0.50",dataset3[[#This Row],[Windspeed]]&lt;=0.6,"0.50-0.60")</f>
        <v>0.00 -0.10</v>
      </c>
      <c r="R28" s="1" t="str" cm="1">
        <f t="array" ref="R2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29" spans="1:18" x14ac:dyDescent="0.25">
      <c r="A29" s="1">
        <v>647</v>
      </c>
      <c r="B29" s="3">
        <v>40573</v>
      </c>
      <c r="C29" s="1">
        <v>1</v>
      </c>
      <c r="D29" s="1">
        <v>5</v>
      </c>
      <c r="E29" s="1" t="s">
        <v>27</v>
      </c>
      <c r="F29" s="1">
        <v>0</v>
      </c>
      <c r="G29" s="1">
        <v>1</v>
      </c>
      <c r="H29" s="1" t="str">
        <f t="shared" si="0"/>
        <v>Sunday</v>
      </c>
      <c r="I29" s="1" t="str" cm="1">
        <f t="array" ref="I29">_xlfn.IFS(dataset3[[#This Row],[Weather sit]]=1,"1 Clear",dataset3[[#This Row],[Weather sit]]=2,"2 Misty/Cloudy",dataset3[[#This Row],[Weather sit]]=3,"3 Light Snow/Rain",dataset3[[#This Row],[Weather sit]]=4,"4 Heavy Snow/Rain")</f>
        <v>1 Clear</v>
      </c>
      <c r="J29" s="7">
        <v>0.14000000000000001</v>
      </c>
      <c r="K29" s="7">
        <v>0.21210000000000001</v>
      </c>
      <c r="L29" s="7">
        <v>0.86</v>
      </c>
      <c r="M29" s="7">
        <v>0</v>
      </c>
      <c r="N29" s="1">
        <v>0</v>
      </c>
      <c r="O29" s="1">
        <v>3</v>
      </c>
      <c r="P29" s="1">
        <v>3</v>
      </c>
      <c r="Q29" s="1" t="str" cm="1">
        <f t="array" ref="Q29">_xlfn.IFS(dataset3[[#This Row],[Windspeed]]&lt;=0.1,"0.00 -0.10",dataset3[[#This Row],[Windspeed]]&lt;=0.2,"0.10-0.20",dataset3[[#This Row],[Windspeed]]&lt;=0.3,"0.20-0.30",dataset3[[#This Row],[Windspeed]]&lt;=0.4,"0.30-0.40",dataset3[[#This Row],[Windspeed]]&lt;=0.5,"0.40-0.50",dataset3[[#This Row],[Windspeed]]&lt;=0.6,"0.50-0.60")</f>
        <v>0.00 -0.10</v>
      </c>
      <c r="R29" s="1" t="str" cm="1">
        <f t="array" ref="R2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30" spans="1:18" x14ac:dyDescent="0.25">
      <c r="A30" s="1">
        <v>648</v>
      </c>
      <c r="B30" s="3">
        <v>40573</v>
      </c>
      <c r="C30" s="1">
        <v>1</v>
      </c>
      <c r="D30" s="1">
        <v>7</v>
      </c>
      <c r="E30" s="1" t="s">
        <v>27</v>
      </c>
      <c r="F30" s="1">
        <v>0</v>
      </c>
      <c r="G30" s="1">
        <v>1</v>
      </c>
      <c r="H30" s="1" t="str">
        <f t="shared" si="0"/>
        <v>Sunday</v>
      </c>
      <c r="I30" s="1" t="str" cm="1">
        <f t="array" ref="I30">_xlfn.IFS(dataset3[[#This Row],[Weather sit]]=1,"1 Clear",dataset3[[#This Row],[Weather sit]]=2,"2 Misty/Cloudy",dataset3[[#This Row],[Weather sit]]=3,"3 Light Snow/Rain",dataset3[[#This Row],[Weather sit]]=4,"4 Heavy Snow/Rain")</f>
        <v>1 Clear</v>
      </c>
      <c r="J30" s="7">
        <v>0.14000000000000001</v>
      </c>
      <c r="K30" s="7">
        <v>0.21210000000000001</v>
      </c>
      <c r="L30" s="7">
        <v>0.86</v>
      </c>
      <c r="M30" s="7">
        <v>0</v>
      </c>
      <c r="N30" s="1">
        <v>0</v>
      </c>
      <c r="O30" s="1">
        <v>3</v>
      </c>
      <c r="P30" s="1">
        <v>3</v>
      </c>
      <c r="Q30" s="1" t="str" cm="1">
        <f t="array" ref="Q30">_xlfn.IFS(dataset3[[#This Row],[Windspeed]]&lt;=0.1,"0.00 -0.10",dataset3[[#This Row],[Windspeed]]&lt;=0.2,"0.10-0.20",dataset3[[#This Row],[Windspeed]]&lt;=0.3,"0.20-0.30",dataset3[[#This Row],[Windspeed]]&lt;=0.4,"0.30-0.40",dataset3[[#This Row],[Windspeed]]&lt;=0.5,"0.40-0.50",dataset3[[#This Row],[Windspeed]]&lt;=0.6,"0.50-0.60")</f>
        <v>0.00 -0.10</v>
      </c>
      <c r="R30" s="1" t="str" cm="1">
        <f t="array" ref="R3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31" spans="1:18" x14ac:dyDescent="0.25">
      <c r="A31" s="1">
        <v>649</v>
      </c>
      <c r="B31" s="3">
        <v>40573</v>
      </c>
      <c r="C31" s="1">
        <v>1</v>
      </c>
      <c r="D31" s="1">
        <v>8</v>
      </c>
      <c r="E31" s="1" t="s">
        <v>27</v>
      </c>
      <c r="F31" s="1">
        <v>0</v>
      </c>
      <c r="G31" s="1">
        <v>2</v>
      </c>
      <c r="H31" s="1" t="str">
        <f t="shared" si="0"/>
        <v>Sunday</v>
      </c>
      <c r="I31" s="1" t="str" cm="1">
        <f t="array" ref="I31">_xlfn.IFS(dataset3[[#This Row],[Weather sit]]=1,"1 Clear",dataset3[[#This Row],[Weather sit]]=2,"2 Misty/Cloudy",dataset3[[#This Row],[Weather sit]]=3,"3 Light Snow/Rain",dataset3[[#This Row],[Weather sit]]=4,"4 Heavy Snow/Rain")</f>
        <v>2 Misty/Cloudy</v>
      </c>
      <c r="J31" s="7">
        <v>0.14000000000000001</v>
      </c>
      <c r="K31" s="7">
        <v>0.21210000000000001</v>
      </c>
      <c r="L31" s="7">
        <v>0.86</v>
      </c>
      <c r="M31" s="7">
        <v>0</v>
      </c>
      <c r="N31" s="1">
        <v>1</v>
      </c>
      <c r="O31" s="1">
        <v>11</v>
      </c>
      <c r="P31" s="1">
        <v>12</v>
      </c>
      <c r="Q31" s="1" t="str" cm="1">
        <f t="array" ref="Q31">_xlfn.IFS(dataset3[[#This Row],[Windspeed]]&lt;=0.1,"0.00 -0.10",dataset3[[#This Row],[Windspeed]]&lt;=0.2,"0.10-0.20",dataset3[[#This Row],[Windspeed]]&lt;=0.3,"0.20-0.30",dataset3[[#This Row],[Windspeed]]&lt;=0.4,"0.30-0.40",dataset3[[#This Row],[Windspeed]]&lt;=0.5,"0.40-0.50",dataset3[[#This Row],[Windspeed]]&lt;=0.6,"0.50-0.60")</f>
        <v>0.00 -0.10</v>
      </c>
      <c r="R31" s="1" t="str" cm="1">
        <f t="array" ref="R3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32" spans="1:18" x14ac:dyDescent="0.25">
      <c r="A32" s="1">
        <v>650</v>
      </c>
      <c r="B32" s="3">
        <v>40573</v>
      </c>
      <c r="C32" s="1">
        <v>1</v>
      </c>
      <c r="D32" s="1">
        <v>9</v>
      </c>
      <c r="E32" s="1" t="s">
        <v>27</v>
      </c>
      <c r="F32" s="1">
        <v>0</v>
      </c>
      <c r="G32" s="1">
        <v>2</v>
      </c>
      <c r="H32" s="1" t="str">
        <f t="shared" si="0"/>
        <v>Sunday</v>
      </c>
      <c r="I32" s="1" t="str" cm="1">
        <f t="array" ref="I32">_xlfn.IFS(dataset3[[#This Row],[Weather sit]]=1,"1 Clear",dataset3[[#This Row],[Weather sit]]=2,"2 Misty/Cloudy",dataset3[[#This Row],[Weather sit]]=3,"3 Light Snow/Rain",dataset3[[#This Row],[Weather sit]]=4,"4 Heavy Snow/Rain")</f>
        <v>2 Misty/Cloudy</v>
      </c>
      <c r="J32" s="7">
        <v>0.16</v>
      </c>
      <c r="K32" s="7">
        <v>0.2273</v>
      </c>
      <c r="L32" s="7">
        <v>0.8</v>
      </c>
      <c r="M32" s="7">
        <v>0</v>
      </c>
      <c r="N32" s="1">
        <v>4</v>
      </c>
      <c r="O32" s="1">
        <v>34</v>
      </c>
      <c r="P32" s="1">
        <v>38</v>
      </c>
      <c r="Q32" s="1" t="str" cm="1">
        <f t="array" ref="Q32">_xlfn.IFS(dataset3[[#This Row],[Windspeed]]&lt;=0.1,"0.00 -0.10",dataset3[[#This Row],[Windspeed]]&lt;=0.2,"0.10-0.20",dataset3[[#This Row],[Windspeed]]&lt;=0.3,"0.20-0.30",dataset3[[#This Row],[Windspeed]]&lt;=0.4,"0.30-0.40",dataset3[[#This Row],[Windspeed]]&lt;=0.5,"0.40-0.50",dataset3[[#This Row],[Windspeed]]&lt;=0.6,"0.50-0.60")</f>
        <v>0.00 -0.10</v>
      </c>
      <c r="R32" s="1" t="str" cm="1">
        <f t="array" ref="R3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3" spans="1:18" x14ac:dyDescent="0.25">
      <c r="A33" s="1">
        <v>651</v>
      </c>
      <c r="B33" s="3">
        <v>40573</v>
      </c>
      <c r="C33" s="1">
        <v>1</v>
      </c>
      <c r="D33" s="1">
        <v>10</v>
      </c>
      <c r="E33" s="1" t="s">
        <v>27</v>
      </c>
      <c r="F33" s="1">
        <v>0</v>
      </c>
      <c r="G33" s="1">
        <v>2</v>
      </c>
      <c r="H33" s="1" t="str">
        <f t="shared" si="0"/>
        <v>Sunday</v>
      </c>
      <c r="I33" s="1" t="str" cm="1">
        <f t="array" ref="I33">_xlfn.IFS(dataset3[[#This Row],[Weather sit]]=1,"1 Clear",dataset3[[#This Row],[Weather sit]]=2,"2 Misty/Cloudy",dataset3[[#This Row],[Weather sit]]=3,"3 Light Snow/Rain",dataset3[[#This Row],[Weather sit]]=4,"4 Heavy Snow/Rain")</f>
        <v>2 Misty/Cloudy</v>
      </c>
      <c r="J33" s="7">
        <v>0.18</v>
      </c>
      <c r="K33" s="7">
        <v>0.2424</v>
      </c>
      <c r="L33" s="7">
        <v>0.8</v>
      </c>
      <c r="M33" s="7">
        <v>0</v>
      </c>
      <c r="N33" s="1">
        <v>7</v>
      </c>
      <c r="O33" s="1">
        <v>57</v>
      </c>
      <c r="P33" s="1">
        <v>64</v>
      </c>
      <c r="Q33" s="1" t="str" cm="1">
        <f t="array" ref="Q33">_xlfn.IFS(dataset3[[#This Row],[Windspeed]]&lt;=0.1,"0.00 -0.10",dataset3[[#This Row],[Windspeed]]&lt;=0.2,"0.10-0.20",dataset3[[#This Row],[Windspeed]]&lt;=0.3,"0.20-0.30",dataset3[[#This Row],[Windspeed]]&lt;=0.4,"0.30-0.40",dataset3[[#This Row],[Windspeed]]&lt;=0.5,"0.40-0.50",dataset3[[#This Row],[Windspeed]]&lt;=0.6,"0.50-0.60")</f>
        <v>0.00 -0.10</v>
      </c>
      <c r="R33" s="1" t="str" cm="1">
        <f t="array" ref="R3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4" spans="1:18" x14ac:dyDescent="0.25">
      <c r="A34" s="1">
        <v>652</v>
      </c>
      <c r="B34" s="3">
        <v>40573</v>
      </c>
      <c r="C34" s="1">
        <v>1</v>
      </c>
      <c r="D34" s="1">
        <v>11</v>
      </c>
      <c r="E34" s="1" t="s">
        <v>27</v>
      </c>
      <c r="F34" s="1">
        <v>0</v>
      </c>
      <c r="G34" s="1">
        <v>1</v>
      </c>
      <c r="H34" s="1" t="str">
        <f t="shared" si="0"/>
        <v>Sunday</v>
      </c>
      <c r="I34" s="1" t="str" cm="1">
        <f t="array" ref="I34">_xlfn.IFS(dataset3[[#This Row],[Weather sit]]=1,"1 Clear",dataset3[[#This Row],[Weather sit]]=2,"2 Misty/Cloudy",dataset3[[#This Row],[Weather sit]]=3,"3 Light Snow/Rain",dataset3[[#This Row],[Weather sit]]=4,"4 Heavy Snow/Rain")</f>
        <v>1 Clear</v>
      </c>
      <c r="J34" s="7">
        <v>0.22</v>
      </c>
      <c r="K34" s="7">
        <v>0.2727</v>
      </c>
      <c r="L34" s="7">
        <v>0.75</v>
      </c>
      <c r="M34" s="7">
        <v>0</v>
      </c>
      <c r="N34" s="1">
        <v>9</v>
      </c>
      <c r="O34" s="1">
        <v>50</v>
      </c>
      <c r="P34" s="1">
        <v>59</v>
      </c>
      <c r="Q34" s="1" t="str" cm="1">
        <f t="array" ref="Q34">_xlfn.IFS(dataset3[[#This Row],[Windspeed]]&lt;=0.1,"0.00 -0.10",dataset3[[#This Row],[Windspeed]]&lt;=0.2,"0.10-0.20",dataset3[[#This Row],[Windspeed]]&lt;=0.3,"0.20-0.30",dataset3[[#This Row],[Windspeed]]&lt;=0.4,"0.30-0.40",dataset3[[#This Row],[Windspeed]]&lt;=0.5,"0.40-0.50",dataset3[[#This Row],[Windspeed]]&lt;=0.6,"0.50-0.60")</f>
        <v>0.00 -0.10</v>
      </c>
      <c r="R34" s="1" t="str" cm="1">
        <f t="array" ref="R3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5" spans="1:18" x14ac:dyDescent="0.25">
      <c r="A35" s="1">
        <v>653</v>
      </c>
      <c r="B35" s="3">
        <v>40573</v>
      </c>
      <c r="C35" s="1">
        <v>1</v>
      </c>
      <c r="D35" s="1">
        <v>12</v>
      </c>
      <c r="E35" s="1" t="s">
        <v>27</v>
      </c>
      <c r="F35" s="1">
        <v>0</v>
      </c>
      <c r="G35" s="1">
        <v>1</v>
      </c>
      <c r="H35" s="1" t="str">
        <f t="shared" si="0"/>
        <v>Sunday</v>
      </c>
      <c r="I35" s="1" t="str" cm="1">
        <f t="array" ref="I35">_xlfn.IFS(dataset3[[#This Row],[Weather sit]]=1,"1 Clear",dataset3[[#This Row],[Weather sit]]=2,"2 Misty/Cloudy",dataset3[[#This Row],[Weather sit]]=3,"3 Light Snow/Rain",dataset3[[#This Row],[Weather sit]]=4,"4 Heavy Snow/Rain")</f>
        <v>1 Clear</v>
      </c>
      <c r="J35" s="7">
        <v>0.3</v>
      </c>
      <c r="K35" s="7">
        <v>0.31819999999999998</v>
      </c>
      <c r="L35" s="7">
        <v>0.52</v>
      </c>
      <c r="M35" s="7">
        <v>0.1045</v>
      </c>
      <c r="N35" s="1">
        <v>10</v>
      </c>
      <c r="O35" s="1">
        <v>87</v>
      </c>
      <c r="P35" s="1">
        <v>97</v>
      </c>
      <c r="Q35" s="1" t="str" cm="1">
        <f t="array" ref="Q35">_xlfn.IFS(dataset3[[#This Row],[Windspeed]]&lt;=0.1,"0.00 -0.10",dataset3[[#This Row],[Windspeed]]&lt;=0.2,"0.10-0.20",dataset3[[#This Row],[Windspeed]]&lt;=0.3,"0.20-0.30",dataset3[[#This Row],[Windspeed]]&lt;=0.4,"0.30-0.40",dataset3[[#This Row],[Windspeed]]&lt;=0.5,"0.40-0.50",dataset3[[#This Row],[Windspeed]]&lt;=0.6,"0.50-0.60")</f>
        <v>0.10-0.20</v>
      </c>
      <c r="R35" s="1" t="str" cm="1">
        <f t="array" ref="R3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36" spans="1:18" x14ac:dyDescent="0.25">
      <c r="A36" s="1">
        <v>654</v>
      </c>
      <c r="B36" s="3">
        <v>40573</v>
      </c>
      <c r="C36" s="1">
        <v>1</v>
      </c>
      <c r="D36" s="1">
        <v>13</v>
      </c>
      <c r="E36" s="1" t="s">
        <v>27</v>
      </c>
      <c r="F36" s="1">
        <v>0</v>
      </c>
      <c r="G36" s="1">
        <v>1</v>
      </c>
      <c r="H36" s="1" t="str">
        <f t="shared" si="0"/>
        <v>Sunday</v>
      </c>
      <c r="I36" s="1" t="str" cm="1">
        <f t="array" ref="I36">_xlfn.IFS(dataset3[[#This Row],[Weather sit]]=1,"1 Clear",dataset3[[#This Row],[Weather sit]]=2,"2 Misty/Cloudy",dataset3[[#This Row],[Weather sit]]=3,"3 Light Snow/Rain",dataset3[[#This Row],[Weather sit]]=4,"4 Heavy Snow/Rain")</f>
        <v>1 Clear</v>
      </c>
      <c r="J36" s="7">
        <v>0.28000000000000003</v>
      </c>
      <c r="K36" s="7">
        <v>0.28789999999999999</v>
      </c>
      <c r="L36" s="7">
        <v>0.61</v>
      </c>
      <c r="M36" s="7">
        <v>0.1045</v>
      </c>
      <c r="N36" s="1">
        <v>13</v>
      </c>
      <c r="O36" s="1">
        <v>71</v>
      </c>
      <c r="P36" s="1">
        <v>84</v>
      </c>
      <c r="Q36" s="1" t="str" cm="1">
        <f t="array" ref="Q36">_xlfn.IFS(dataset3[[#This Row],[Windspeed]]&lt;=0.1,"0.00 -0.10",dataset3[[#This Row],[Windspeed]]&lt;=0.2,"0.10-0.20",dataset3[[#This Row],[Windspeed]]&lt;=0.3,"0.20-0.30",dataset3[[#This Row],[Windspeed]]&lt;=0.4,"0.30-0.40",dataset3[[#This Row],[Windspeed]]&lt;=0.5,"0.40-0.50",dataset3[[#This Row],[Windspeed]]&lt;=0.6,"0.50-0.60")</f>
        <v>0.10-0.20</v>
      </c>
      <c r="R36" s="1" t="str" cm="1">
        <f t="array" ref="R3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7" spans="1:18" x14ac:dyDescent="0.25">
      <c r="A37" s="1">
        <v>655</v>
      </c>
      <c r="B37" s="3">
        <v>40573</v>
      </c>
      <c r="C37" s="1">
        <v>1</v>
      </c>
      <c r="D37" s="1">
        <v>14</v>
      </c>
      <c r="E37" s="1" t="s">
        <v>27</v>
      </c>
      <c r="F37" s="1">
        <v>0</v>
      </c>
      <c r="G37" s="1">
        <v>1</v>
      </c>
      <c r="H37" s="1" t="str">
        <f t="shared" si="0"/>
        <v>Sunday</v>
      </c>
      <c r="I37" s="1" t="str" cm="1">
        <f t="array" ref="I37">_xlfn.IFS(dataset3[[#This Row],[Weather sit]]=1,"1 Clear",dataset3[[#This Row],[Weather sit]]=2,"2 Misty/Cloudy",dataset3[[#This Row],[Weather sit]]=3,"3 Light Snow/Rain",dataset3[[#This Row],[Weather sit]]=4,"4 Heavy Snow/Rain")</f>
        <v>1 Clear</v>
      </c>
      <c r="J37" s="7">
        <v>0.28000000000000003</v>
      </c>
      <c r="K37" s="7">
        <v>0.30299999999999999</v>
      </c>
      <c r="L37" s="7">
        <v>0.61</v>
      </c>
      <c r="M37" s="7">
        <v>8.9599999999999999E-2</v>
      </c>
      <c r="N37" s="1">
        <v>18</v>
      </c>
      <c r="O37" s="1">
        <v>104</v>
      </c>
      <c r="P37" s="1">
        <v>122</v>
      </c>
      <c r="Q37" s="1" t="str" cm="1">
        <f t="array" ref="Q37">_xlfn.IFS(dataset3[[#This Row],[Windspeed]]&lt;=0.1,"0.00 -0.10",dataset3[[#This Row],[Windspeed]]&lt;=0.2,"0.10-0.20",dataset3[[#This Row],[Windspeed]]&lt;=0.3,"0.20-0.30",dataset3[[#This Row],[Windspeed]]&lt;=0.4,"0.30-0.40",dataset3[[#This Row],[Windspeed]]&lt;=0.5,"0.40-0.50",dataset3[[#This Row],[Windspeed]]&lt;=0.6,"0.50-0.60")</f>
        <v>0.00 -0.10</v>
      </c>
      <c r="R37" s="1" t="str" cm="1">
        <f t="array" ref="R3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8" spans="1:18" x14ac:dyDescent="0.25">
      <c r="A38" s="1">
        <v>656</v>
      </c>
      <c r="B38" s="3">
        <v>40573</v>
      </c>
      <c r="C38" s="1">
        <v>1</v>
      </c>
      <c r="D38" s="1">
        <v>15</v>
      </c>
      <c r="E38" s="1" t="s">
        <v>27</v>
      </c>
      <c r="F38" s="1">
        <v>0</v>
      </c>
      <c r="G38" s="1">
        <v>1</v>
      </c>
      <c r="H38" s="1" t="str">
        <f t="shared" si="0"/>
        <v>Sunday</v>
      </c>
      <c r="I38" s="1" t="str" cm="1">
        <f t="array" ref="I38">_xlfn.IFS(dataset3[[#This Row],[Weather sit]]=1,"1 Clear",dataset3[[#This Row],[Weather sit]]=2,"2 Misty/Cloudy",dataset3[[#This Row],[Weather sit]]=3,"3 Light Snow/Rain",dataset3[[#This Row],[Weather sit]]=4,"4 Heavy Snow/Rain")</f>
        <v>1 Clear</v>
      </c>
      <c r="J38" s="7">
        <v>0.3</v>
      </c>
      <c r="K38" s="7">
        <v>0.33329999999999999</v>
      </c>
      <c r="L38" s="7">
        <v>0.56000000000000005</v>
      </c>
      <c r="M38" s="7">
        <v>0</v>
      </c>
      <c r="N38" s="1">
        <v>14</v>
      </c>
      <c r="O38" s="1">
        <v>95</v>
      </c>
      <c r="P38" s="1">
        <v>109</v>
      </c>
      <c r="Q38" s="1" t="str" cm="1">
        <f t="array" ref="Q38">_xlfn.IFS(dataset3[[#This Row],[Windspeed]]&lt;=0.1,"0.00 -0.10",dataset3[[#This Row],[Windspeed]]&lt;=0.2,"0.10-0.20",dataset3[[#This Row],[Windspeed]]&lt;=0.3,"0.20-0.30",dataset3[[#This Row],[Windspeed]]&lt;=0.4,"0.30-0.40",dataset3[[#This Row],[Windspeed]]&lt;=0.5,"0.40-0.50",dataset3[[#This Row],[Windspeed]]&lt;=0.6,"0.50-0.60")</f>
        <v>0.00 -0.10</v>
      </c>
      <c r="R38" s="1" t="str" cm="1">
        <f t="array" ref="R3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39" spans="1:18" x14ac:dyDescent="0.25">
      <c r="A39" s="1">
        <v>657</v>
      </c>
      <c r="B39" s="3">
        <v>40573</v>
      </c>
      <c r="C39" s="1">
        <v>1</v>
      </c>
      <c r="D39" s="1">
        <v>16</v>
      </c>
      <c r="E39" s="1" t="s">
        <v>27</v>
      </c>
      <c r="F39" s="1">
        <v>0</v>
      </c>
      <c r="G39" s="1">
        <v>1</v>
      </c>
      <c r="H39" s="1" t="str">
        <f t="shared" si="0"/>
        <v>Sunday</v>
      </c>
      <c r="I39" s="1" t="str" cm="1">
        <f t="array" ref="I39">_xlfn.IFS(dataset3[[#This Row],[Weather sit]]=1,"1 Clear",dataset3[[#This Row],[Weather sit]]=2,"2 Misty/Cloudy",dataset3[[#This Row],[Weather sit]]=3,"3 Light Snow/Rain",dataset3[[#This Row],[Weather sit]]=4,"4 Heavy Snow/Rain")</f>
        <v>1 Clear</v>
      </c>
      <c r="J39" s="7">
        <v>0.3</v>
      </c>
      <c r="K39" s="7">
        <v>0.33329999999999999</v>
      </c>
      <c r="L39" s="7">
        <v>0.56000000000000005</v>
      </c>
      <c r="M39" s="7">
        <v>0</v>
      </c>
      <c r="N39" s="1">
        <v>19</v>
      </c>
      <c r="O39" s="1">
        <v>104</v>
      </c>
      <c r="P39" s="1">
        <v>123</v>
      </c>
      <c r="Q39" s="1" t="str" cm="1">
        <f t="array" ref="Q39">_xlfn.IFS(dataset3[[#This Row],[Windspeed]]&lt;=0.1,"0.00 -0.10",dataset3[[#This Row],[Windspeed]]&lt;=0.2,"0.10-0.20",dataset3[[#This Row],[Windspeed]]&lt;=0.3,"0.20-0.30",dataset3[[#This Row],[Windspeed]]&lt;=0.4,"0.30-0.40",dataset3[[#This Row],[Windspeed]]&lt;=0.5,"0.40-0.50",dataset3[[#This Row],[Windspeed]]&lt;=0.6,"0.50-0.60")</f>
        <v>0.00 -0.10</v>
      </c>
      <c r="R39" s="1" t="str" cm="1">
        <f t="array" ref="R3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40" spans="1:18" x14ac:dyDescent="0.25">
      <c r="A40" s="1">
        <v>658</v>
      </c>
      <c r="B40" s="3">
        <v>40573</v>
      </c>
      <c r="C40" s="1">
        <v>1</v>
      </c>
      <c r="D40" s="1">
        <v>17</v>
      </c>
      <c r="E40" s="1" t="s">
        <v>27</v>
      </c>
      <c r="F40" s="1">
        <v>0</v>
      </c>
      <c r="G40" s="1">
        <v>1</v>
      </c>
      <c r="H40" s="1" t="str">
        <f t="shared" si="0"/>
        <v>Sunday</v>
      </c>
      <c r="I40" s="1" t="str" cm="1">
        <f t="array" ref="I40">_xlfn.IFS(dataset3[[#This Row],[Weather sit]]=1,"1 Clear",dataset3[[#This Row],[Weather sit]]=2,"2 Misty/Cloudy",dataset3[[#This Row],[Weather sit]]=3,"3 Light Snow/Rain",dataset3[[#This Row],[Weather sit]]=4,"4 Heavy Snow/Rain")</f>
        <v>1 Clear</v>
      </c>
      <c r="J40" s="7">
        <v>0.3</v>
      </c>
      <c r="K40" s="7">
        <v>0.28789999999999999</v>
      </c>
      <c r="L40" s="7">
        <v>0.56000000000000005</v>
      </c>
      <c r="M40" s="7">
        <v>0.19400000000000001</v>
      </c>
      <c r="N40" s="1">
        <v>6</v>
      </c>
      <c r="O40" s="1">
        <v>71</v>
      </c>
      <c r="P40" s="1">
        <v>77</v>
      </c>
      <c r="Q40" s="1" t="str" cm="1">
        <f t="array" ref="Q40">_xlfn.IFS(dataset3[[#This Row],[Windspeed]]&lt;=0.1,"0.00 -0.10",dataset3[[#This Row],[Windspeed]]&lt;=0.2,"0.10-0.20",dataset3[[#This Row],[Windspeed]]&lt;=0.3,"0.20-0.30",dataset3[[#This Row],[Windspeed]]&lt;=0.4,"0.30-0.40",dataset3[[#This Row],[Windspeed]]&lt;=0.5,"0.40-0.50",dataset3[[#This Row],[Windspeed]]&lt;=0.6,"0.50-0.60")</f>
        <v>0.10-0.20</v>
      </c>
      <c r="R40" s="1" t="str" cm="1">
        <f t="array" ref="R4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41" spans="1:18" x14ac:dyDescent="0.25">
      <c r="A41" s="1">
        <v>659</v>
      </c>
      <c r="B41" s="3">
        <v>40573</v>
      </c>
      <c r="C41" s="1">
        <v>1</v>
      </c>
      <c r="D41" s="1">
        <v>18</v>
      </c>
      <c r="E41" s="1" t="s">
        <v>27</v>
      </c>
      <c r="F41" s="1">
        <v>0</v>
      </c>
      <c r="G41" s="1">
        <v>1</v>
      </c>
      <c r="H41" s="1" t="str">
        <f t="shared" si="0"/>
        <v>Sunday</v>
      </c>
      <c r="I41" s="1" t="str" cm="1">
        <f t="array" ref="I41">_xlfn.IFS(dataset3[[#This Row],[Weather sit]]=1,"1 Clear",dataset3[[#This Row],[Weather sit]]=2,"2 Misty/Cloudy",dataset3[[#This Row],[Weather sit]]=3,"3 Light Snow/Rain",dataset3[[#This Row],[Weather sit]]=4,"4 Heavy Snow/Rain")</f>
        <v>1 Clear</v>
      </c>
      <c r="J41" s="7">
        <v>0.26</v>
      </c>
      <c r="K41" s="7">
        <v>0.2576</v>
      </c>
      <c r="L41" s="7">
        <v>0.65</v>
      </c>
      <c r="M41" s="7">
        <v>0.16420000000000001</v>
      </c>
      <c r="N41" s="1">
        <v>8</v>
      </c>
      <c r="O41" s="1">
        <v>57</v>
      </c>
      <c r="P41" s="1">
        <v>65</v>
      </c>
      <c r="Q41" s="1" t="str" cm="1">
        <f t="array" ref="Q41">_xlfn.IFS(dataset3[[#This Row],[Windspeed]]&lt;=0.1,"0.00 -0.10",dataset3[[#This Row],[Windspeed]]&lt;=0.2,"0.10-0.20",dataset3[[#This Row],[Windspeed]]&lt;=0.3,"0.20-0.30",dataset3[[#This Row],[Windspeed]]&lt;=0.4,"0.30-0.40",dataset3[[#This Row],[Windspeed]]&lt;=0.5,"0.40-0.50",dataset3[[#This Row],[Windspeed]]&lt;=0.6,"0.50-0.60")</f>
        <v>0.10-0.20</v>
      </c>
      <c r="R41" s="1" t="str" cm="1">
        <f t="array" ref="R4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42" spans="1:18" x14ac:dyDescent="0.25">
      <c r="A42" s="1">
        <v>660</v>
      </c>
      <c r="B42" s="3">
        <v>40573</v>
      </c>
      <c r="C42" s="1">
        <v>1</v>
      </c>
      <c r="D42" s="1">
        <v>19</v>
      </c>
      <c r="E42" s="1" t="s">
        <v>27</v>
      </c>
      <c r="F42" s="1">
        <v>0</v>
      </c>
      <c r="G42" s="1">
        <v>1</v>
      </c>
      <c r="H42" s="1" t="str">
        <f t="shared" si="0"/>
        <v>Sunday</v>
      </c>
      <c r="I42" s="1" t="str" cm="1">
        <f t="array" ref="I42">_xlfn.IFS(dataset3[[#This Row],[Weather sit]]=1,"1 Clear",dataset3[[#This Row],[Weather sit]]=2,"2 Misty/Cloudy",dataset3[[#This Row],[Weather sit]]=3,"3 Light Snow/Rain",dataset3[[#This Row],[Weather sit]]=4,"4 Heavy Snow/Rain")</f>
        <v>1 Clear</v>
      </c>
      <c r="J42" s="7">
        <v>0.26</v>
      </c>
      <c r="K42" s="7">
        <v>0.2576</v>
      </c>
      <c r="L42" s="7">
        <v>0.65</v>
      </c>
      <c r="M42" s="7">
        <v>0.19400000000000001</v>
      </c>
      <c r="N42" s="1">
        <v>9</v>
      </c>
      <c r="O42" s="1">
        <v>46</v>
      </c>
      <c r="P42" s="1">
        <v>55</v>
      </c>
      <c r="Q42" s="1" t="str" cm="1">
        <f t="array" ref="Q42">_xlfn.IFS(dataset3[[#This Row],[Windspeed]]&lt;=0.1,"0.00 -0.10",dataset3[[#This Row],[Windspeed]]&lt;=0.2,"0.10-0.20",dataset3[[#This Row],[Windspeed]]&lt;=0.3,"0.20-0.30",dataset3[[#This Row],[Windspeed]]&lt;=0.4,"0.30-0.40",dataset3[[#This Row],[Windspeed]]&lt;=0.5,"0.40-0.50",dataset3[[#This Row],[Windspeed]]&lt;=0.6,"0.50-0.60")</f>
        <v>0.10-0.20</v>
      </c>
      <c r="R42" s="1" t="str" cm="1">
        <f t="array" ref="R4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43" spans="1:18" x14ac:dyDescent="0.25">
      <c r="A43" s="1">
        <v>661</v>
      </c>
      <c r="B43" s="3">
        <v>40573</v>
      </c>
      <c r="C43" s="1">
        <v>1</v>
      </c>
      <c r="D43" s="1">
        <v>20</v>
      </c>
      <c r="E43" s="1" t="s">
        <v>27</v>
      </c>
      <c r="F43" s="1">
        <v>0</v>
      </c>
      <c r="G43" s="1">
        <v>2</v>
      </c>
      <c r="H43" s="1" t="str">
        <f t="shared" si="0"/>
        <v>Sunday</v>
      </c>
      <c r="I43" s="1" t="str" cm="1">
        <f t="array" ref="I43">_xlfn.IFS(dataset3[[#This Row],[Weather sit]]=1,"1 Clear",dataset3[[#This Row],[Weather sit]]=2,"2 Misty/Cloudy",dataset3[[#This Row],[Weather sit]]=3,"3 Light Snow/Rain",dataset3[[#This Row],[Weather sit]]=4,"4 Heavy Snow/Rain")</f>
        <v>2 Misty/Cloudy</v>
      </c>
      <c r="J43" s="7">
        <v>0.26</v>
      </c>
      <c r="K43" s="7">
        <v>0.2727</v>
      </c>
      <c r="L43" s="7">
        <v>0.65</v>
      </c>
      <c r="M43" s="7">
        <v>0.1045</v>
      </c>
      <c r="N43" s="1">
        <v>3</v>
      </c>
      <c r="O43" s="1">
        <v>30</v>
      </c>
      <c r="P43" s="1">
        <v>33</v>
      </c>
      <c r="Q43" s="1" t="str" cm="1">
        <f t="array" ref="Q43">_xlfn.IFS(dataset3[[#This Row],[Windspeed]]&lt;=0.1,"0.00 -0.10",dataset3[[#This Row],[Windspeed]]&lt;=0.2,"0.10-0.20",dataset3[[#This Row],[Windspeed]]&lt;=0.3,"0.20-0.30",dataset3[[#This Row],[Windspeed]]&lt;=0.4,"0.30-0.40",dataset3[[#This Row],[Windspeed]]&lt;=0.5,"0.40-0.50",dataset3[[#This Row],[Windspeed]]&lt;=0.6,"0.50-0.60")</f>
        <v>0.10-0.20</v>
      </c>
      <c r="R43" s="1" t="str" cm="1">
        <f t="array" ref="R4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44" spans="1:18" x14ac:dyDescent="0.25">
      <c r="A44" s="1">
        <v>662</v>
      </c>
      <c r="B44" s="3">
        <v>40573</v>
      </c>
      <c r="C44" s="1">
        <v>1</v>
      </c>
      <c r="D44" s="1">
        <v>21</v>
      </c>
      <c r="E44" s="1" t="s">
        <v>27</v>
      </c>
      <c r="F44" s="1">
        <v>0</v>
      </c>
      <c r="G44" s="1">
        <v>2</v>
      </c>
      <c r="H44" s="1" t="str">
        <f t="shared" si="0"/>
        <v>Sunday</v>
      </c>
      <c r="I44" s="1" t="str" cm="1">
        <f t="array" ref="I44">_xlfn.IFS(dataset3[[#This Row],[Weather sit]]=1,"1 Clear",dataset3[[#This Row],[Weather sit]]=2,"2 Misty/Cloudy",dataset3[[#This Row],[Weather sit]]=3,"3 Light Snow/Rain",dataset3[[#This Row],[Weather sit]]=4,"4 Heavy Snow/Rain")</f>
        <v>2 Misty/Cloudy</v>
      </c>
      <c r="J44" s="7">
        <v>0.24</v>
      </c>
      <c r="K44" s="7">
        <v>0.2424</v>
      </c>
      <c r="L44" s="7">
        <v>0.7</v>
      </c>
      <c r="M44" s="7">
        <v>0.16420000000000001</v>
      </c>
      <c r="N44" s="1">
        <v>3</v>
      </c>
      <c r="O44" s="1">
        <v>25</v>
      </c>
      <c r="P44" s="1">
        <v>28</v>
      </c>
      <c r="Q44" s="1" t="str" cm="1">
        <f t="array" ref="Q44">_xlfn.IFS(dataset3[[#This Row],[Windspeed]]&lt;=0.1,"0.00 -0.10",dataset3[[#This Row],[Windspeed]]&lt;=0.2,"0.10-0.20",dataset3[[#This Row],[Windspeed]]&lt;=0.3,"0.20-0.30",dataset3[[#This Row],[Windspeed]]&lt;=0.4,"0.30-0.40",dataset3[[#This Row],[Windspeed]]&lt;=0.5,"0.40-0.50",dataset3[[#This Row],[Windspeed]]&lt;=0.6,"0.50-0.60")</f>
        <v>0.10-0.20</v>
      </c>
      <c r="R44" s="1" t="str" cm="1">
        <f t="array" ref="R4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45" spans="1:18" x14ac:dyDescent="0.25">
      <c r="A45" s="1">
        <v>663</v>
      </c>
      <c r="B45" s="3">
        <v>40573</v>
      </c>
      <c r="C45" s="1">
        <v>1</v>
      </c>
      <c r="D45" s="1">
        <v>22</v>
      </c>
      <c r="E45" s="1" t="s">
        <v>27</v>
      </c>
      <c r="F45" s="1">
        <v>0</v>
      </c>
      <c r="G45" s="1">
        <v>2</v>
      </c>
      <c r="H45" s="1" t="str">
        <f t="shared" si="0"/>
        <v>Sunday</v>
      </c>
      <c r="I45" s="1" t="str" cm="1">
        <f t="array" ref="I45">_xlfn.IFS(dataset3[[#This Row],[Weather sit]]=1,"1 Clear",dataset3[[#This Row],[Weather sit]]=2,"2 Misty/Cloudy",dataset3[[#This Row],[Weather sit]]=3,"3 Light Snow/Rain",dataset3[[#This Row],[Weather sit]]=4,"4 Heavy Snow/Rain")</f>
        <v>2 Misty/Cloudy</v>
      </c>
      <c r="J45" s="7">
        <v>0.24</v>
      </c>
      <c r="K45" s="7">
        <v>0.2273</v>
      </c>
      <c r="L45" s="7">
        <v>0.7</v>
      </c>
      <c r="M45" s="7">
        <v>0.19400000000000001</v>
      </c>
      <c r="N45" s="1">
        <v>2</v>
      </c>
      <c r="O45" s="1">
        <v>19</v>
      </c>
      <c r="P45" s="1">
        <v>21</v>
      </c>
      <c r="Q45" s="1" t="str" cm="1">
        <f t="array" ref="Q45">_xlfn.IFS(dataset3[[#This Row],[Windspeed]]&lt;=0.1,"0.00 -0.10",dataset3[[#This Row],[Windspeed]]&lt;=0.2,"0.10-0.20",dataset3[[#This Row],[Windspeed]]&lt;=0.3,"0.20-0.30",dataset3[[#This Row],[Windspeed]]&lt;=0.4,"0.30-0.40",dataset3[[#This Row],[Windspeed]]&lt;=0.5,"0.40-0.50",dataset3[[#This Row],[Windspeed]]&lt;=0.6,"0.50-0.60")</f>
        <v>0.10-0.20</v>
      </c>
      <c r="R45" s="1" t="str" cm="1">
        <f t="array" ref="R4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46" spans="1:18" x14ac:dyDescent="0.25">
      <c r="A46" s="1">
        <v>664</v>
      </c>
      <c r="B46" s="3">
        <v>40573</v>
      </c>
      <c r="C46" s="1">
        <v>1</v>
      </c>
      <c r="D46" s="1">
        <v>23</v>
      </c>
      <c r="E46" s="1" t="s">
        <v>27</v>
      </c>
      <c r="F46" s="1">
        <v>0</v>
      </c>
      <c r="G46" s="1">
        <v>2</v>
      </c>
      <c r="H46" s="1" t="str">
        <f t="shared" si="0"/>
        <v>Sunday</v>
      </c>
      <c r="I46" s="1" t="str" cm="1">
        <f t="array" ref="I46">_xlfn.IFS(dataset3[[#This Row],[Weather sit]]=1,"1 Clear",dataset3[[#This Row],[Weather sit]]=2,"2 Misty/Cloudy",dataset3[[#This Row],[Weather sit]]=3,"3 Light Snow/Rain",dataset3[[#This Row],[Weather sit]]=4,"4 Heavy Snow/Rain")</f>
        <v>2 Misty/Cloudy</v>
      </c>
      <c r="J46" s="7">
        <v>0.24</v>
      </c>
      <c r="K46" s="7">
        <v>0.21210000000000001</v>
      </c>
      <c r="L46" s="7">
        <v>0.65</v>
      </c>
      <c r="M46" s="7">
        <v>0.28360000000000002</v>
      </c>
      <c r="N46" s="1">
        <v>5</v>
      </c>
      <c r="O46" s="1">
        <v>16</v>
      </c>
      <c r="P46" s="1">
        <v>21</v>
      </c>
      <c r="Q46" s="1" t="str" cm="1">
        <f t="array" ref="Q46">_xlfn.IFS(dataset3[[#This Row],[Windspeed]]&lt;=0.1,"0.00 -0.10",dataset3[[#This Row],[Windspeed]]&lt;=0.2,"0.10-0.20",dataset3[[#This Row],[Windspeed]]&lt;=0.3,"0.20-0.30",dataset3[[#This Row],[Windspeed]]&lt;=0.4,"0.30-0.40",dataset3[[#This Row],[Windspeed]]&lt;=0.5,"0.40-0.50",dataset3[[#This Row],[Windspeed]]&lt;=0.6,"0.50-0.60")</f>
        <v>0.20-0.30</v>
      </c>
      <c r="R46" s="1" t="str" cm="1">
        <f t="array" ref="R4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47" spans="1:18" x14ac:dyDescent="0.25">
      <c r="A47" s="1">
        <v>665</v>
      </c>
      <c r="B47" s="3">
        <v>40574</v>
      </c>
      <c r="C47" s="1">
        <v>1</v>
      </c>
      <c r="D47" s="1">
        <v>0</v>
      </c>
      <c r="E47" s="1" t="s">
        <v>27</v>
      </c>
      <c r="F47" s="1">
        <v>1</v>
      </c>
      <c r="G47" s="1">
        <v>2</v>
      </c>
      <c r="H47" s="1" t="str">
        <f t="shared" si="0"/>
        <v>Monday</v>
      </c>
      <c r="I47" s="1" t="str" cm="1">
        <f t="array" ref="I47">_xlfn.IFS(dataset3[[#This Row],[Weather sit]]=1,"1 Clear",dataset3[[#This Row],[Weather sit]]=2,"2 Misty/Cloudy",dataset3[[#This Row],[Weather sit]]=3,"3 Light Snow/Rain",dataset3[[#This Row],[Weather sit]]=4,"4 Heavy Snow/Rain")</f>
        <v>2 Misty/Cloudy</v>
      </c>
      <c r="J47" s="7">
        <v>0.24</v>
      </c>
      <c r="K47" s="7">
        <v>0.2273</v>
      </c>
      <c r="L47" s="7">
        <v>0.65</v>
      </c>
      <c r="M47" s="7">
        <v>0.22389999999999999</v>
      </c>
      <c r="N47" s="1">
        <v>1</v>
      </c>
      <c r="O47" s="1">
        <v>6</v>
      </c>
      <c r="P47" s="1">
        <v>7</v>
      </c>
      <c r="Q47" s="1" t="str" cm="1">
        <f t="array" ref="Q47">_xlfn.IFS(dataset3[[#This Row],[Windspeed]]&lt;=0.1,"0.00 -0.10",dataset3[[#This Row],[Windspeed]]&lt;=0.2,"0.10-0.20",dataset3[[#This Row],[Windspeed]]&lt;=0.3,"0.20-0.30",dataset3[[#This Row],[Windspeed]]&lt;=0.4,"0.30-0.40",dataset3[[#This Row],[Windspeed]]&lt;=0.5,"0.40-0.50",dataset3[[#This Row],[Windspeed]]&lt;=0.6,"0.50-0.60")</f>
        <v>0.20-0.30</v>
      </c>
      <c r="R47" s="1" t="str" cm="1">
        <f t="array" ref="R4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48" spans="1:18" x14ac:dyDescent="0.25">
      <c r="A48" s="1">
        <v>666</v>
      </c>
      <c r="B48" s="3">
        <v>40574</v>
      </c>
      <c r="C48" s="1">
        <v>1</v>
      </c>
      <c r="D48" s="1">
        <v>1</v>
      </c>
      <c r="E48" s="1" t="s">
        <v>27</v>
      </c>
      <c r="F48" s="1">
        <v>1</v>
      </c>
      <c r="G48" s="1">
        <v>1</v>
      </c>
      <c r="H48" s="1" t="str">
        <f t="shared" si="0"/>
        <v>Monday</v>
      </c>
      <c r="I48" s="1" t="str" cm="1">
        <f t="array" ref="I48">_xlfn.IFS(dataset3[[#This Row],[Weather sit]]=1,"1 Clear",dataset3[[#This Row],[Weather sit]]=2,"2 Misty/Cloudy",dataset3[[#This Row],[Weather sit]]=3,"3 Light Snow/Rain",dataset3[[#This Row],[Weather sit]]=4,"4 Heavy Snow/Rain")</f>
        <v>1 Clear</v>
      </c>
      <c r="J48" s="7">
        <v>0.22</v>
      </c>
      <c r="K48" s="7">
        <v>0.21210000000000001</v>
      </c>
      <c r="L48" s="7">
        <v>0.64</v>
      </c>
      <c r="M48" s="7">
        <v>0.25369999999999998</v>
      </c>
      <c r="N48" s="1">
        <v>2</v>
      </c>
      <c r="O48" s="1">
        <v>5</v>
      </c>
      <c r="P48" s="1">
        <v>7</v>
      </c>
      <c r="Q48" s="1" t="str" cm="1">
        <f t="array" ref="Q48">_xlfn.IFS(dataset3[[#This Row],[Windspeed]]&lt;=0.1,"0.00 -0.10",dataset3[[#This Row],[Windspeed]]&lt;=0.2,"0.10-0.20",dataset3[[#This Row],[Windspeed]]&lt;=0.3,"0.20-0.30",dataset3[[#This Row],[Windspeed]]&lt;=0.4,"0.30-0.40",dataset3[[#This Row],[Windspeed]]&lt;=0.5,"0.40-0.50",dataset3[[#This Row],[Windspeed]]&lt;=0.6,"0.50-0.60")</f>
        <v>0.20-0.30</v>
      </c>
      <c r="R48" s="1" t="str" cm="1">
        <f t="array" ref="R4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49" spans="1:18" x14ac:dyDescent="0.25">
      <c r="A49" s="1">
        <v>667</v>
      </c>
      <c r="B49" s="3">
        <v>40574</v>
      </c>
      <c r="C49" s="1">
        <v>1</v>
      </c>
      <c r="D49" s="1">
        <v>2</v>
      </c>
      <c r="E49" s="1" t="s">
        <v>27</v>
      </c>
      <c r="F49" s="1">
        <v>1</v>
      </c>
      <c r="G49" s="1">
        <v>1</v>
      </c>
      <c r="H49" s="1" t="str">
        <f t="shared" si="0"/>
        <v>Monday</v>
      </c>
      <c r="I49" s="1" t="str" cm="1">
        <f t="array" ref="I49">_xlfn.IFS(dataset3[[#This Row],[Weather sit]]=1,"1 Clear",dataset3[[#This Row],[Weather sit]]=2,"2 Misty/Cloudy",dataset3[[#This Row],[Weather sit]]=3,"3 Light Snow/Rain",dataset3[[#This Row],[Weather sit]]=4,"4 Heavy Snow/Rain")</f>
        <v>1 Clear</v>
      </c>
      <c r="J49" s="7">
        <v>0.22</v>
      </c>
      <c r="K49" s="7">
        <v>0.2273</v>
      </c>
      <c r="L49" s="7">
        <v>0.64</v>
      </c>
      <c r="M49" s="7">
        <v>0.19400000000000001</v>
      </c>
      <c r="N49" s="1">
        <v>0</v>
      </c>
      <c r="O49" s="1">
        <v>1</v>
      </c>
      <c r="P49" s="1">
        <v>1</v>
      </c>
      <c r="Q49" s="1" t="str" cm="1">
        <f t="array" ref="Q49">_xlfn.IFS(dataset3[[#This Row],[Windspeed]]&lt;=0.1,"0.00 -0.10",dataset3[[#This Row],[Windspeed]]&lt;=0.2,"0.10-0.20",dataset3[[#This Row],[Windspeed]]&lt;=0.3,"0.20-0.30",dataset3[[#This Row],[Windspeed]]&lt;=0.4,"0.30-0.40",dataset3[[#This Row],[Windspeed]]&lt;=0.5,"0.40-0.50",dataset3[[#This Row],[Windspeed]]&lt;=0.6,"0.50-0.60")</f>
        <v>0.10-0.20</v>
      </c>
      <c r="R49" s="1" t="str" cm="1">
        <f t="array" ref="R4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50" spans="1:18" x14ac:dyDescent="0.25">
      <c r="A50" s="1">
        <v>668</v>
      </c>
      <c r="B50" s="3">
        <v>40574</v>
      </c>
      <c r="C50" s="1">
        <v>1</v>
      </c>
      <c r="D50" s="1">
        <v>3</v>
      </c>
      <c r="E50" s="1" t="s">
        <v>27</v>
      </c>
      <c r="F50" s="1">
        <v>1</v>
      </c>
      <c r="G50" s="1">
        <v>1</v>
      </c>
      <c r="H50" s="1" t="str">
        <f t="shared" si="0"/>
        <v>Monday</v>
      </c>
      <c r="I50" s="1" t="str" cm="1">
        <f t="array" ref="I50">_xlfn.IFS(dataset3[[#This Row],[Weather sit]]=1,"1 Clear",dataset3[[#This Row],[Weather sit]]=2,"2 Misty/Cloudy",dataset3[[#This Row],[Weather sit]]=3,"3 Light Snow/Rain",dataset3[[#This Row],[Weather sit]]=4,"4 Heavy Snow/Rain")</f>
        <v>1 Clear</v>
      </c>
      <c r="J50" s="7">
        <v>0.22</v>
      </c>
      <c r="K50" s="7">
        <v>0.2273</v>
      </c>
      <c r="L50" s="7">
        <v>0.64</v>
      </c>
      <c r="M50" s="7">
        <v>0.19400000000000001</v>
      </c>
      <c r="N50" s="1">
        <v>0</v>
      </c>
      <c r="O50" s="1">
        <v>2</v>
      </c>
      <c r="P50" s="1">
        <v>2</v>
      </c>
      <c r="Q50" s="1" t="str" cm="1">
        <f t="array" ref="Q50">_xlfn.IFS(dataset3[[#This Row],[Windspeed]]&lt;=0.1,"0.00 -0.10",dataset3[[#This Row],[Windspeed]]&lt;=0.2,"0.10-0.20",dataset3[[#This Row],[Windspeed]]&lt;=0.3,"0.20-0.30",dataset3[[#This Row],[Windspeed]]&lt;=0.4,"0.30-0.40",dataset3[[#This Row],[Windspeed]]&lt;=0.5,"0.40-0.50",dataset3[[#This Row],[Windspeed]]&lt;=0.6,"0.50-0.60")</f>
        <v>0.10-0.20</v>
      </c>
      <c r="R50" s="1" t="str" cm="1">
        <f t="array" ref="R5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51" spans="1:18" x14ac:dyDescent="0.25">
      <c r="A51" s="1">
        <v>669</v>
      </c>
      <c r="B51" s="3">
        <v>40574</v>
      </c>
      <c r="C51" s="1">
        <v>1</v>
      </c>
      <c r="D51" s="1">
        <v>4</v>
      </c>
      <c r="E51" s="1" t="s">
        <v>27</v>
      </c>
      <c r="F51" s="1">
        <v>1</v>
      </c>
      <c r="G51" s="1">
        <v>1</v>
      </c>
      <c r="H51" s="1" t="str">
        <f t="shared" si="0"/>
        <v>Monday</v>
      </c>
      <c r="I51" s="1" t="str" cm="1">
        <f t="array" ref="I51">_xlfn.IFS(dataset3[[#This Row],[Weather sit]]=1,"1 Clear",dataset3[[#This Row],[Weather sit]]=2,"2 Misty/Cloudy",dataset3[[#This Row],[Weather sit]]=3,"3 Light Snow/Rain",dataset3[[#This Row],[Weather sit]]=4,"4 Heavy Snow/Rain")</f>
        <v>1 Clear</v>
      </c>
      <c r="J51" s="7">
        <v>0.2</v>
      </c>
      <c r="K51" s="7">
        <v>0.19700000000000001</v>
      </c>
      <c r="L51" s="7">
        <v>0.59</v>
      </c>
      <c r="M51" s="7">
        <v>0.22389999999999999</v>
      </c>
      <c r="N51" s="1">
        <v>0</v>
      </c>
      <c r="O51" s="1">
        <v>2</v>
      </c>
      <c r="P51" s="1">
        <v>2</v>
      </c>
      <c r="Q51" s="1" t="str" cm="1">
        <f t="array" ref="Q51">_xlfn.IFS(dataset3[[#This Row],[Windspeed]]&lt;=0.1,"0.00 -0.10",dataset3[[#This Row],[Windspeed]]&lt;=0.2,"0.10-0.20",dataset3[[#This Row],[Windspeed]]&lt;=0.3,"0.20-0.30",dataset3[[#This Row],[Windspeed]]&lt;=0.4,"0.30-0.40",dataset3[[#This Row],[Windspeed]]&lt;=0.5,"0.40-0.50",dataset3[[#This Row],[Windspeed]]&lt;=0.6,"0.50-0.60")</f>
        <v>0.20-0.30</v>
      </c>
      <c r="R51" s="1" t="str" cm="1">
        <f t="array" ref="R5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52" spans="1:18" x14ac:dyDescent="0.25">
      <c r="A52" s="1">
        <v>670</v>
      </c>
      <c r="B52" s="3">
        <v>40574</v>
      </c>
      <c r="C52" s="1">
        <v>1</v>
      </c>
      <c r="D52" s="1">
        <v>5</v>
      </c>
      <c r="E52" s="1" t="s">
        <v>27</v>
      </c>
      <c r="F52" s="1">
        <v>1</v>
      </c>
      <c r="G52" s="1">
        <v>1</v>
      </c>
      <c r="H52" s="1" t="str">
        <f t="shared" si="0"/>
        <v>Monday</v>
      </c>
      <c r="I52" s="1" t="str" cm="1">
        <f t="array" ref="I52">_xlfn.IFS(dataset3[[#This Row],[Weather sit]]=1,"1 Clear",dataset3[[#This Row],[Weather sit]]=2,"2 Misty/Cloudy",dataset3[[#This Row],[Weather sit]]=3,"3 Light Snow/Rain",dataset3[[#This Row],[Weather sit]]=4,"4 Heavy Snow/Rain")</f>
        <v>1 Clear</v>
      </c>
      <c r="J52" s="7">
        <v>0.18</v>
      </c>
      <c r="K52" s="7">
        <v>0.16669999999999999</v>
      </c>
      <c r="L52" s="7">
        <v>0.64</v>
      </c>
      <c r="M52" s="7">
        <v>0.28360000000000002</v>
      </c>
      <c r="N52" s="1">
        <v>0</v>
      </c>
      <c r="O52" s="1">
        <v>8</v>
      </c>
      <c r="P52" s="1">
        <v>8</v>
      </c>
      <c r="Q52" s="1" t="str" cm="1">
        <f t="array" ref="Q52">_xlfn.IFS(dataset3[[#This Row],[Windspeed]]&lt;=0.1,"0.00 -0.10",dataset3[[#This Row],[Windspeed]]&lt;=0.2,"0.10-0.20",dataset3[[#This Row],[Windspeed]]&lt;=0.3,"0.20-0.30",dataset3[[#This Row],[Windspeed]]&lt;=0.4,"0.30-0.40",dataset3[[#This Row],[Windspeed]]&lt;=0.5,"0.40-0.50",dataset3[[#This Row],[Windspeed]]&lt;=0.6,"0.50-0.60")</f>
        <v>0.20-0.30</v>
      </c>
      <c r="R52" s="1" t="str" cm="1">
        <f t="array" ref="R5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53" spans="1:18" x14ac:dyDescent="0.25">
      <c r="A53" s="1">
        <v>671</v>
      </c>
      <c r="B53" s="3">
        <v>40574</v>
      </c>
      <c r="C53" s="1">
        <v>1</v>
      </c>
      <c r="D53" s="1">
        <v>6</v>
      </c>
      <c r="E53" s="1" t="s">
        <v>27</v>
      </c>
      <c r="F53" s="1">
        <v>1</v>
      </c>
      <c r="G53" s="1">
        <v>1</v>
      </c>
      <c r="H53" s="1" t="str">
        <f t="shared" si="0"/>
        <v>Monday</v>
      </c>
      <c r="I53" s="1" t="str" cm="1">
        <f t="array" ref="I53">_xlfn.IFS(dataset3[[#This Row],[Weather sit]]=1,"1 Clear",dataset3[[#This Row],[Weather sit]]=2,"2 Misty/Cloudy",dataset3[[#This Row],[Weather sit]]=3,"3 Light Snow/Rain",dataset3[[#This Row],[Weather sit]]=4,"4 Heavy Snow/Rain")</f>
        <v>1 Clear</v>
      </c>
      <c r="J53" s="7">
        <v>0.16</v>
      </c>
      <c r="K53" s="7">
        <v>0.13639999999999999</v>
      </c>
      <c r="L53" s="7">
        <v>0.69</v>
      </c>
      <c r="M53" s="7">
        <v>0.32840000000000003</v>
      </c>
      <c r="N53" s="1">
        <v>0</v>
      </c>
      <c r="O53" s="1">
        <v>37</v>
      </c>
      <c r="P53" s="1">
        <v>37</v>
      </c>
      <c r="Q53" s="1" t="str" cm="1">
        <f t="array" ref="Q53">_xlfn.IFS(dataset3[[#This Row],[Windspeed]]&lt;=0.1,"0.00 -0.10",dataset3[[#This Row],[Windspeed]]&lt;=0.2,"0.10-0.20",dataset3[[#This Row],[Windspeed]]&lt;=0.3,"0.20-0.30",dataset3[[#This Row],[Windspeed]]&lt;=0.4,"0.30-0.40",dataset3[[#This Row],[Windspeed]]&lt;=0.5,"0.40-0.50",dataset3[[#This Row],[Windspeed]]&lt;=0.6,"0.50-0.60")</f>
        <v>0.30-0.40</v>
      </c>
      <c r="R53" s="1" t="str" cm="1">
        <f t="array" ref="R5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54" spans="1:18" x14ac:dyDescent="0.25">
      <c r="A54" s="1">
        <v>672</v>
      </c>
      <c r="B54" s="3">
        <v>40574</v>
      </c>
      <c r="C54" s="1">
        <v>1</v>
      </c>
      <c r="D54" s="1">
        <v>7</v>
      </c>
      <c r="E54" s="1" t="s">
        <v>27</v>
      </c>
      <c r="F54" s="1">
        <v>1</v>
      </c>
      <c r="G54" s="1">
        <v>2</v>
      </c>
      <c r="H54" s="1" t="str">
        <f t="shared" si="0"/>
        <v>Monday</v>
      </c>
      <c r="I54" s="1" t="str" cm="1">
        <f t="array" ref="I54">_xlfn.IFS(dataset3[[#This Row],[Weather sit]]=1,"1 Clear",dataset3[[#This Row],[Weather sit]]=2,"2 Misty/Cloudy",dataset3[[#This Row],[Weather sit]]=3,"3 Light Snow/Rain",dataset3[[#This Row],[Weather sit]]=4,"4 Heavy Snow/Rain")</f>
        <v>2 Misty/Cloudy</v>
      </c>
      <c r="J54" s="7">
        <v>0.16</v>
      </c>
      <c r="K54" s="7">
        <v>0.13639999999999999</v>
      </c>
      <c r="L54" s="7">
        <v>0.64</v>
      </c>
      <c r="M54" s="7">
        <v>0.28360000000000002</v>
      </c>
      <c r="N54" s="1">
        <v>1</v>
      </c>
      <c r="O54" s="1">
        <v>71</v>
      </c>
      <c r="P54" s="1">
        <v>72</v>
      </c>
      <c r="Q54" s="1" t="str" cm="1">
        <f t="array" ref="Q54">_xlfn.IFS(dataset3[[#This Row],[Windspeed]]&lt;=0.1,"0.00 -0.10",dataset3[[#This Row],[Windspeed]]&lt;=0.2,"0.10-0.20",dataset3[[#This Row],[Windspeed]]&lt;=0.3,"0.20-0.30",dataset3[[#This Row],[Windspeed]]&lt;=0.4,"0.30-0.40",dataset3[[#This Row],[Windspeed]]&lt;=0.5,"0.40-0.50",dataset3[[#This Row],[Windspeed]]&lt;=0.6,"0.50-0.60")</f>
        <v>0.20-0.30</v>
      </c>
      <c r="R54" s="1" t="str" cm="1">
        <f t="array" ref="R5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55" spans="1:18" x14ac:dyDescent="0.25">
      <c r="A55" s="1">
        <v>673</v>
      </c>
      <c r="B55" s="3">
        <v>40574</v>
      </c>
      <c r="C55" s="1">
        <v>1</v>
      </c>
      <c r="D55" s="1">
        <v>8</v>
      </c>
      <c r="E55" s="1" t="s">
        <v>27</v>
      </c>
      <c r="F55" s="1">
        <v>1</v>
      </c>
      <c r="G55" s="1">
        <v>2</v>
      </c>
      <c r="H55" s="1" t="str">
        <f t="shared" si="0"/>
        <v>Monday</v>
      </c>
      <c r="I55" s="1" t="str" cm="1">
        <f t="array" ref="I55">_xlfn.IFS(dataset3[[#This Row],[Weather sit]]=1,"1 Clear",dataset3[[#This Row],[Weather sit]]=2,"2 Misty/Cloudy",dataset3[[#This Row],[Weather sit]]=3,"3 Light Snow/Rain",dataset3[[#This Row],[Weather sit]]=4,"4 Heavy Snow/Rain")</f>
        <v>2 Misty/Cloudy</v>
      </c>
      <c r="J55" s="7">
        <v>0.16</v>
      </c>
      <c r="K55" s="7">
        <v>0.13639999999999999</v>
      </c>
      <c r="L55" s="7">
        <v>0.59</v>
      </c>
      <c r="M55" s="7">
        <v>0.28360000000000002</v>
      </c>
      <c r="N55" s="1">
        <v>3</v>
      </c>
      <c r="O55" s="1">
        <v>182</v>
      </c>
      <c r="P55" s="1">
        <v>185</v>
      </c>
      <c r="Q55" s="1" t="str" cm="1">
        <f t="array" ref="Q55">_xlfn.IFS(dataset3[[#This Row],[Windspeed]]&lt;=0.1,"0.00 -0.10",dataset3[[#This Row],[Windspeed]]&lt;=0.2,"0.10-0.20",dataset3[[#This Row],[Windspeed]]&lt;=0.3,"0.20-0.30",dataset3[[#This Row],[Windspeed]]&lt;=0.4,"0.30-0.40",dataset3[[#This Row],[Windspeed]]&lt;=0.5,"0.40-0.50",dataset3[[#This Row],[Windspeed]]&lt;=0.6,"0.50-0.60")</f>
        <v>0.20-0.30</v>
      </c>
      <c r="R55" s="1" t="str" cm="1">
        <f t="array" ref="R5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56" spans="1:18" x14ac:dyDescent="0.25">
      <c r="A56" s="1">
        <v>674</v>
      </c>
      <c r="B56" s="3">
        <v>40574</v>
      </c>
      <c r="C56" s="1">
        <v>1</v>
      </c>
      <c r="D56" s="1">
        <v>9</v>
      </c>
      <c r="E56" s="1" t="s">
        <v>27</v>
      </c>
      <c r="F56" s="1">
        <v>1</v>
      </c>
      <c r="G56" s="1">
        <v>2</v>
      </c>
      <c r="H56" s="1" t="str">
        <f t="shared" si="0"/>
        <v>Monday</v>
      </c>
      <c r="I56" s="1" t="str" cm="1">
        <f t="array" ref="I56">_xlfn.IFS(dataset3[[#This Row],[Weather sit]]=1,"1 Clear",dataset3[[#This Row],[Weather sit]]=2,"2 Misty/Cloudy",dataset3[[#This Row],[Weather sit]]=3,"3 Light Snow/Rain",dataset3[[#This Row],[Weather sit]]=4,"4 Heavy Snow/Rain")</f>
        <v>2 Misty/Cloudy</v>
      </c>
      <c r="J56" s="7">
        <v>0.16</v>
      </c>
      <c r="K56" s="7">
        <v>0.13639999999999999</v>
      </c>
      <c r="L56" s="7">
        <v>0.59</v>
      </c>
      <c r="M56" s="7">
        <v>0.29849999999999999</v>
      </c>
      <c r="N56" s="1">
        <v>0</v>
      </c>
      <c r="O56" s="1">
        <v>112</v>
      </c>
      <c r="P56" s="1">
        <v>112</v>
      </c>
      <c r="Q56" s="1" t="str" cm="1">
        <f t="array" ref="Q56">_xlfn.IFS(dataset3[[#This Row],[Windspeed]]&lt;=0.1,"0.00 -0.10",dataset3[[#This Row],[Windspeed]]&lt;=0.2,"0.10-0.20",dataset3[[#This Row],[Windspeed]]&lt;=0.3,"0.20-0.30",dataset3[[#This Row],[Windspeed]]&lt;=0.4,"0.30-0.40",dataset3[[#This Row],[Windspeed]]&lt;=0.5,"0.40-0.50",dataset3[[#This Row],[Windspeed]]&lt;=0.6,"0.50-0.60")</f>
        <v>0.20-0.30</v>
      </c>
      <c r="R56" s="1" t="str" cm="1">
        <f t="array" ref="R5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57" spans="1:18" x14ac:dyDescent="0.25">
      <c r="A57" s="1">
        <v>675</v>
      </c>
      <c r="B57" s="3">
        <v>40574</v>
      </c>
      <c r="C57" s="1">
        <v>1</v>
      </c>
      <c r="D57" s="1">
        <v>10</v>
      </c>
      <c r="E57" s="1" t="s">
        <v>27</v>
      </c>
      <c r="F57" s="1">
        <v>1</v>
      </c>
      <c r="G57" s="1">
        <v>2</v>
      </c>
      <c r="H57" s="1" t="str">
        <f t="shared" si="0"/>
        <v>Monday</v>
      </c>
      <c r="I57" s="1" t="str" cm="1">
        <f t="array" ref="I57">_xlfn.IFS(dataset3[[#This Row],[Weather sit]]=1,"1 Clear",dataset3[[#This Row],[Weather sit]]=2,"2 Misty/Cloudy",dataset3[[#This Row],[Weather sit]]=3,"3 Light Snow/Rain",dataset3[[#This Row],[Weather sit]]=4,"4 Heavy Snow/Rain")</f>
        <v>2 Misty/Cloudy</v>
      </c>
      <c r="J57" s="7">
        <v>0.16</v>
      </c>
      <c r="K57" s="7">
        <v>0.1515</v>
      </c>
      <c r="L57" s="7">
        <v>0.59</v>
      </c>
      <c r="M57" s="7">
        <v>0.19400000000000001</v>
      </c>
      <c r="N57" s="1">
        <v>1</v>
      </c>
      <c r="O57" s="1">
        <v>68</v>
      </c>
      <c r="P57" s="1">
        <v>69</v>
      </c>
      <c r="Q57" s="1" t="str" cm="1">
        <f t="array" ref="Q57">_xlfn.IFS(dataset3[[#This Row],[Windspeed]]&lt;=0.1,"0.00 -0.10",dataset3[[#This Row],[Windspeed]]&lt;=0.2,"0.10-0.20",dataset3[[#This Row],[Windspeed]]&lt;=0.3,"0.20-0.30",dataset3[[#This Row],[Windspeed]]&lt;=0.4,"0.30-0.40",dataset3[[#This Row],[Windspeed]]&lt;=0.5,"0.40-0.50",dataset3[[#This Row],[Windspeed]]&lt;=0.6,"0.50-0.60")</f>
        <v>0.10-0.20</v>
      </c>
      <c r="R57" s="1" t="str" cm="1">
        <f t="array" ref="R5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58" spans="1:18" x14ac:dyDescent="0.25">
      <c r="A58" s="1">
        <v>676</v>
      </c>
      <c r="B58" s="3">
        <v>40574</v>
      </c>
      <c r="C58" s="1">
        <v>1</v>
      </c>
      <c r="D58" s="1">
        <v>11</v>
      </c>
      <c r="E58" s="1" t="s">
        <v>27</v>
      </c>
      <c r="F58" s="1">
        <v>1</v>
      </c>
      <c r="G58" s="1">
        <v>2</v>
      </c>
      <c r="H58" s="1" t="str">
        <f t="shared" si="0"/>
        <v>Monday</v>
      </c>
      <c r="I58" s="1" t="str" cm="1">
        <f t="array" ref="I58">_xlfn.IFS(dataset3[[#This Row],[Weather sit]]=1,"1 Clear",dataset3[[#This Row],[Weather sit]]=2,"2 Misty/Cloudy",dataset3[[#This Row],[Weather sit]]=3,"3 Light Snow/Rain",dataset3[[#This Row],[Weather sit]]=4,"4 Heavy Snow/Rain")</f>
        <v>2 Misty/Cloudy</v>
      </c>
      <c r="J58" s="7">
        <v>0.16</v>
      </c>
      <c r="K58" s="7">
        <v>0.1515</v>
      </c>
      <c r="L58" s="7">
        <v>0.59</v>
      </c>
      <c r="M58" s="7">
        <v>0.19400000000000001</v>
      </c>
      <c r="N58" s="1">
        <v>2</v>
      </c>
      <c r="O58" s="1">
        <v>46</v>
      </c>
      <c r="P58" s="1">
        <v>48</v>
      </c>
      <c r="Q58" s="1" t="str" cm="1">
        <f t="array" ref="Q58">_xlfn.IFS(dataset3[[#This Row],[Windspeed]]&lt;=0.1,"0.00 -0.10",dataset3[[#This Row],[Windspeed]]&lt;=0.2,"0.10-0.20",dataset3[[#This Row],[Windspeed]]&lt;=0.3,"0.20-0.30",dataset3[[#This Row],[Windspeed]]&lt;=0.4,"0.30-0.40",dataset3[[#This Row],[Windspeed]]&lt;=0.5,"0.40-0.50",dataset3[[#This Row],[Windspeed]]&lt;=0.6,"0.50-0.60")</f>
        <v>0.10-0.20</v>
      </c>
      <c r="R58" s="1" t="str" cm="1">
        <f t="array" ref="R5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59" spans="1:18" x14ac:dyDescent="0.25">
      <c r="A59" s="1">
        <v>677</v>
      </c>
      <c r="B59" s="3">
        <v>40574</v>
      </c>
      <c r="C59" s="1">
        <v>1</v>
      </c>
      <c r="D59" s="1">
        <v>12</v>
      </c>
      <c r="E59" s="1" t="s">
        <v>27</v>
      </c>
      <c r="F59" s="1">
        <v>1</v>
      </c>
      <c r="G59" s="1">
        <v>2</v>
      </c>
      <c r="H59" s="1" t="str">
        <f t="shared" si="0"/>
        <v>Monday</v>
      </c>
      <c r="I59" s="1" t="str" cm="1">
        <f t="array" ref="I59">_xlfn.IFS(dataset3[[#This Row],[Weather sit]]=1,"1 Clear",dataset3[[#This Row],[Weather sit]]=2,"2 Misty/Cloudy",dataset3[[#This Row],[Weather sit]]=3,"3 Light Snow/Rain",dataset3[[#This Row],[Weather sit]]=4,"4 Heavy Snow/Rain")</f>
        <v>2 Misty/Cloudy</v>
      </c>
      <c r="J59" s="7">
        <v>0.18</v>
      </c>
      <c r="K59" s="7">
        <v>0.21210000000000001</v>
      </c>
      <c r="L59" s="7">
        <v>0.55000000000000004</v>
      </c>
      <c r="M59" s="7">
        <v>0.1045</v>
      </c>
      <c r="N59" s="1">
        <v>6</v>
      </c>
      <c r="O59" s="1">
        <v>62</v>
      </c>
      <c r="P59" s="1">
        <v>68</v>
      </c>
      <c r="Q59" s="1" t="str" cm="1">
        <f t="array" ref="Q59">_xlfn.IFS(dataset3[[#This Row],[Windspeed]]&lt;=0.1,"0.00 -0.10",dataset3[[#This Row],[Windspeed]]&lt;=0.2,"0.10-0.20",dataset3[[#This Row],[Windspeed]]&lt;=0.3,"0.20-0.30",dataset3[[#This Row],[Windspeed]]&lt;=0.4,"0.30-0.40",dataset3[[#This Row],[Windspeed]]&lt;=0.5,"0.40-0.50",dataset3[[#This Row],[Windspeed]]&lt;=0.6,"0.50-0.60")</f>
        <v>0.10-0.20</v>
      </c>
      <c r="R59" s="1" t="str" cm="1">
        <f t="array" ref="R5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60" spans="1:18" x14ac:dyDescent="0.25">
      <c r="A60" s="1">
        <v>678</v>
      </c>
      <c r="B60" s="3">
        <v>40574</v>
      </c>
      <c r="C60" s="1">
        <v>1</v>
      </c>
      <c r="D60" s="1">
        <v>13</v>
      </c>
      <c r="E60" s="1" t="s">
        <v>27</v>
      </c>
      <c r="F60" s="1">
        <v>1</v>
      </c>
      <c r="G60" s="1">
        <v>2</v>
      </c>
      <c r="H60" s="1" t="str">
        <f t="shared" si="0"/>
        <v>Monday</v>
      </c>
      <c r="I60" s="1" t="str" cm="1">
        <f t="array" ref="I60">_xlfn.IFS(dataset3[[#This Row],[Weather sit]]=1,"1 Clear",dataset3[[#This Row],[Weather sit]]=2,"2 Misty/Cloudy",dataset3[[#This Row],[Weather sit]]=3,"3 Light Snow/Rain",dataset3[[#This Row],[Weather sit]]=4,"4 Heavy Snow/Rain")</f>
        <v>2 Misty/Cloudy</v>
      </c>
      <c r="J60" s="7">
        <v>0.16</v>
      </c>
      <c r="K60" s="7">
        <v>0.2273</v>
      </c>
      <c r="L60" s="7">
        <v>0.59</v>
      </c>
      <c r="M60" s="7">
        <v>0</v>
      </c>
      <c r="N60" s="1">
        <v>2</v>
      </c>
      <c r="O60" s="1">
        <v>52</v>
      </c>
      <c r="P60" s="1">
        <v>54</v>
      </c>
      <c r="Q60" s="1" t="str" cm="1">
        <f t="array" ref="Q60">_xlfn.IFS(dataset3[[#This Row],[Windspeed]]&lt;=0.1,"0.00 -0.10",dataset3[[#This Row],[Windspeed]]&lt;=0.2,"0.10-0.20",dataset3[[#This Row],[Windspeed]]&lt;=0.3,"0.20-0.30",dataset3[[#This Row],[Windspeed]]&lt;=0.4,"0.30-0.40",dataset3[[#This Row],[Windspeed]]&lt;=0.5,"0.40-0.50",dataset3[[#This Row],[Windspeed]]&lt;=0.6,"0.50-0.60")</f>
        <v>0.00 -0.10</v>
      </c>
      <c r="R60" s="1" t="str" cm="1">
        <f t="array" ref="R6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61" spans="1:18" x14ac:dyDescent="0.25">
      <c r="A61" s="1">
        <v>679</v>
      </c>
      <c r="B61" s="3">
        <v>40574</v>
      </c>
      <c r="C61" s="1">
        <v>1</v>
      </c>
      <c r="D61" s="1">
        <v>14</v>
      </c>
      <c r="E61" s="1" t="s">
        <v>27</v>
      </c>
      <c r="F61" s="1">
        <v>1</v>
      </c>
      <c r="G61" s="1">
        <v>2</v>
      </c>
      <c r="H61" s="1" t="str">
        <f t="shared" si="0"/>
        <v>Monday</v>
      </c>
      <c r="I61" s="1" t="str" cm="1">
        <f t="array" ref="I61">_xlfn.IFS(dataset3[[#This Row],[Weather sit]]=1,"1 Clear",dataset3[[#This Row],[Weather sit]]=2,"2 Misty/Cloudy",dataset3[[#This Row],[Weather sit]]=3,"3 Light Snow/Rain",dataset3[[#This Row],[Weather sit]]=4,"4 Heavy Snow/Rain")</f>
        <v>2 Misty/Cloudy</v>
      </c>
      <c r="J61" s="7">
        <v>0.18</v>
      </c>
      <c r="K61" s="7">
        <v>0.19700000000000001</v>
      </c>
      <c r="L61" s="7">
        <v>0.55000000000000004</v>
      </c>
      <c r="M61" s="7">
        <v>0.1343</v>
      </c>
      <c r="N61" s="1">
        <v>1</v>
      </c>
      <c r="O61" s="1">
        <v>85</v>
      </c>
      <c r="P61" s="1">
        <v>86</v>
      </c>
      <c r="Q61" s="1" t="str" cm="1">
        <f t="array" ref="Q61">_xlfn.IFS(dataset3[[#This Row],[Windspeed]]&lt;=0.1,"0.00 -0.10",dataset3[[#This Row],[Windspeed]]&lt;=0.2,"0.10-0.20",dataset3[[#This Row],[Windspeed]]&lt;=0.3,"0.20-0.30",dataset3[[#This Row],[Windspeed]]&lt;=0.4,"0.30-0.40",dataset3[[#This Row],[Windspeed]]&lt;=0.5,"0.40-0.50",dataset3[[#This Row],[Windspeed]]&lt;=0.6,"0.50-0.60")</f>
        <v>0.10-0.20</v>
      </c>
      <c r="R61" s="1" t="str" cm="1">
        <f t="array" ref="R6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62" spans="1:18" x14ac:dyDescent="0.25">
      <c r="A62" s="1">
        <v>680</v>
      </c>
      <c r="B62" s="3">
        <v>40574</v>
      </c>
      <c r="C62" s="1">
        <v>1</v>
      </c>
      <c r="D62" s="1">
        <v>15</v>
      </c>
      <c r="E62" s="1" t="s">
        <v>27</v>
      </c>
      <c r="F62" s="1">
        <v>1</v>
      </c>
      <c r="G62" s="1">
        <v>2</v>
      </c>
      <c r="H62" s="1" t="str">
        <f t="shared" si="0"/>
        <v>Monday</v>
      </c>
      <c r="I62" s="1" t="str" cm="1">
        <f t="array" ref="I62">_xlfn.IFS(dataset3[[#This Row],[Weather sit]]=1,"1 Clear",dataset3[[#This Row],[Weather sit]]=2,"2 Misty/Cloudy",dataset3[[#This Row],[Weather sit]]=3,"3 Light Snow/Rain",dataset3[[#This Row],[Weather sit]]=4,"4 Heavy Snow/Rain")</f>
        <v>2 Misty/Cloudy</v>
      </c>
      <c r="J62" s="7">
        <v>0.16</v>
      </c>
      <c r="K62" s="7">
        <v>0.18179999999999999</v>
      </c>
      <c r="L62" s="7">
        <v>0.59</v>
      </c>
      <c r="M62" s="7">
        <v>0.1343</v>
      </c>
      <c r="N62" s="1">
        <v>3</v>
      </c>
      <c r="O62" s="1">
        <v>41</v>
      </c>
      <c r="P62" s="1">
        <v>44</v>
      </c>
      <c r="Q62" s="1" t="str" cm="1">
        <f t="array" ref="Q62">_xlfn.IFS(dataset3[[#This Row],[Windspeed]]&lt;=0.1,"0.00 -0.10",dataset3[[#This Row],[Windspeed]]&lt;=0.2,"0.10-0.20",dataset3[[#This Row],[Windspeed]]&lt;=0.3,"0.20-0.30",dataset3[[#This Row],[Windspeed]]&lt;=0.4,"0.30-0.40",dataset3[[#This Row],[Windspeed]]&lt;=0.5,"0.40-0.50",dataset3[[#This Row],[Windspeed]]&lt;=0.6,"0.50-0.60")</f>
        <v>0.10-0.20</v>
      </c>
      <c r="R62" s="1" t="str" cm="1">
        <f t="array" ref="R6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63" spans="1:18" x14ac:dyDescent="0.25">
      <c r="A63" s="1">
        <v>681</v>
      </c>
      <c r="B63" s="3">
        <v>40574</v>
      </c>
      <c r="C63" s="1">
        <v>1</v>
      </c>
      <c r="D63" s="1">
        <v>16</v>
      </c>
      <c r="E63" s="1" t="s">
        <v>27</v>
      </c>
      <c r="F63" s="1">
        <v>1</v>
      </c>
      <c r="G63" s="1">
        <v>2</v>
      </c>
      <c r="H63" s="1" t="str">
        <f t="shared" si="0"/>
        <v>Monday</v>
      </c>
      <c r="I63" s="1" t="str" cm="1">
        <f t="array" ref="I63">_xlfn.IFS(dataset3[[#This Row],[Weather sit]]=1,"1 Clear",dataset3[[#This Row],[Weather sit]]=2,"2 Misty/Cloudy",dataset3[[#This Row],[Weather sit]]=3,"3 Light Snow/Rain",dataset3[[#This Row],[Weather sit]]=4,"4 Heavy Snow/Rain")</f>
        <v>2 Misty/Cloudy</v>
      </c>
      <c r="J63" s="7">
        <v>0.16</v>
      </c>
      <c r="K63" s="7">
        <v>0.18179999999999999</v>
      </c>
      <c r="L63" s="7">
        <v>0.56000000000000005</v>
      </c>
      <c r="M63" s="7">
        <v>0.19400000000000001</v>
      </c>
      <c r="N63" s="1">
        <v>3</v>
      </c>
      <c r="O63" s="1">
        <v>83</v>
      </c>
      <c r="P63" s="1">
        <v>86</v>
      </c>
      <c r="Q63" s="1" t="str" cm="1">
        <f t="array" ref="Q63">_xlfn.IFS(dataset3[[#This Row],[Windspeed]]&lt;=0.1,"0.00 -0.10",dataset3[[#This Row],[Windspeed]]&lt;=0.2,"0.10-0.20",dataset3[[#This Row],[Windspeed]]&lt;=0.3,"0.20-0.30",dataset3[[#This Row],[Windspeed]]&lt;=0.4,"0.30-0.40",dataset3[[#This Row],[Windspeed]]&lt;=0.5,"0.40-0.50",dataset3[[#This Row],[Windspeed]]&lt;=0.6,"0.50-0.60")</f>
        <v>0.10-0.20</v>
      </c>
      <c r="R63" s="1" t="str" cm="1">
        <f t="array" ref="R6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64" spans="1:18" x14ac:dyDescent="0.25">
      <c r="A64" s="1">
        <v>682</v>
      </c>
      <c r="B64" s="3">
        <v>40574</v>
      </c>
      <c r="C64" s="1">
        <v>1</v>
      </c>
      <c r="D64" s="1">
        <v>17</v>
      </c>
      <c r="E64" s="1" t="s">
        <v>27</v>
      </c>
      <c r="F64" s="1">
        <v>1</v>
      </c>
      <c r="G64" s="1">
        <v>2</v>
      </c>
      <c r="H64" s="1" t="str">
        <f t="shared" si="0"/>
        <v>Monday</v>
      </c>
      <c r="I64" s="1" t="str" cm="1">
        <f t="array" ref="I64">_xlfn.IFS(dataset3[[#This Row],[Weather sit]]=1,"1 Clear",dataset3[[#This Row],[Weather sit]]=2,"2 Misty/Cloudy",dataset3[[#This Row],[Weather sit]]=3,"3 Light Snow/Rain",dataset3[[#This Row],[Weather sit]]=4,"4 Heavy Snow/Rain")</f>
        <v>2 Misty/Cloudy</v>
      </c>
      <c r="J64" s="7">
        <v>0.16</v>
      </c>
      <c r="K64" s="7">
        <v>0.1515</v>
      </c>
      <c r="L64" s="7">
        <v>0.59</v>
      </c>
      <c r="M64" s="7">
        <v>0.19400000000000001</v>
      </c>
      <c r="N64" s="1">
        <v>6</v>
      </c>
      <c r="O64" s="1">
        <v>155</v>
      </c>
      <c r="P64" s="1">
        <v>161</v>
      </c>
      <c r="Q64" s="1" t="str" cm="1">
        <f t="array" ref="Q64">_xlfn.IFS(dataset3[[#This Row],[Windspeed]]&lt;=0.1,"0.00 -0.10",dataset3[[#This Row],[Windspeed]]&lt;=0.2,"0.10-0.20",dataset3[[#This Row],[Windspeed]]&lt;=0.3,"0.20-0.30",dataset3[[#This Row],[Windspeed]]&lt;=0.4,"0.30-0.40",dataset3[[#This Row],[Windspeed]]&lt;=0.5,"0.40-0.50",dataset3[[#This Row],[Windspeed]]&lt;=0.6,"0.50-0.60")</f>
        <v>0.10-0.20</v>
      </c>
      <c r="R64" s="1" t="str" cm="1">
        <f t="array" ref="R6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65" spans="1:18" x14ac:dyDescent="0.25">
      <c r="A65" s="1">
        <v>683</v>
      </c>
      <c r="B65" s="3">
        <v>40574</v>
      </c>
      <c r="C65" s="1">
        <v>1</v>
      </c>
      <c r="D65" s="1">
        <v>18</v>
      </c>
      <c r="E65" s="1" t="s">
        <v>27</v>
      </c>
      <c r="F65" s="1">
        <v>1</v>
      </c>
      <c r="G65" s="1">
        <v>2</v>
      </c>
      <c r="H65" s="1" t="str">
        <f t="shared" si="0"/>
        <v>Monday</v>
      </c>
      <c r="I65" s="1" t="str" cm="1">
        <f t="array" ref="I65">_xlfn.IFS(dataset3[[#This Row],[Weather sit]]=1,"1 Clear",dataset3[[#This Row],[Weather sit]]=2,"2 Misty/Cloudy",dataset3[[#This Row],[Weather sit]]=3,"3 Light Snow/Rain",dataset3[[#This Row],[Weather sit]]=4,"4 Heavy Snow/Rain")</f>
        <v>2 Misty/Cloudy</v>
      </c>
      <c r="J65" s="7">
        <v>0.16</v>
      </c>
      <c r="K65" s="7">
        <v>0.1515</v>
      </c>
      <c r="L65" s="7">
        <v>0.55000000000000004</v>
      </c>
      <c r="M65" s="7">
        <v>0.22389999999999999</v>
      </c>
      <c r="N65" s="1">
        <v>3</v>
      </c>
      <c r="O65" s="1">
        <v>153</v>
      </c>
      <c r="P65" s="1">
        <v>156</v>
      </c>
      <c r="Q65" s="1" t="str" cm="1">
        <f t="array" ref="Q65">_xlfn.IFS(dataset3[[#This Row],[Windspeed]]&lt;=0.1,"0.00 -0.10",dataset3[[#This Row],[Windspeed]]&lt;=0.2,"0.10-0.20",dataset3[[#This Row],[Windspeed]]&lt;=0.3,"0.20-0.30",dataset3[[#This Row],[Windspeed]]&lt;=0.4,"0.30-0.40",dataset3[[#This Row],[Windspeed]]&lt;=0.5,"0.40-0.50",dataset3[[#This Row],[Windspeed]]&lt;=0.6,"0.50-0.60")</f>
        <v>0.20-0.30</v>
      </c>
      <c r="R65" s="1" t="str" cm="1">
        <f t="array" ref="R6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66" spans="1:18" x14ac:dyDescent="0.25">
      <c r="A66" s="1">
        <v>684</v>
      </c>
      <c r="B66" s="3">
        <v>40574</v>
      </c>
      <c r="C66" s="1">
        <v>1</v>
      </c>
      <c r="D66" s="1">
        <v>19</v>
      </c>
      <c r="E66" s="1" t="s">
        <v>27</v>
      </c>
      <c r="F66" s="1">
        <v>1</v>
      </c>
      <c r="G66" s="1">
        <v>1</v>
      </c>
      <c r="H66" s="1" t="str">
        <f t="shared" ref="H66:H129" si="1">TEXT(B66,"dddd")</f>
        <v>Monday</v>
      </c>
      <c r="I66" s="1" t="str" cm="1">
        <f t="array" ref="I66">_xlfn.IFS(dataset3[[#This Row],[Weather sit]]=1,"1 Clear",dataset3[[#This Row],[Weather sit]]=2,"2 Misty/Cloudy",dataset3[[#This Row],[Weather sit]]=3,"3 Light Snow/Rain",dataset3[[#This Row],[Weather sit]]=4,"4 Heavy Snow/Rain")</f>
        <v>1 Clear</v>
      </c>
      <c r="J66" s="7">
        <v>0.3</v>
      </c>
      <c r="K66" s="7">
        <v>0.31819999999999998</v>
      </c>
      <c r="L66" s="7">
        <v>0.61</v>
      </c>
      <c r="M66" s="7">
        <v>0.1045</v>
      </c>
      <c r="N66" s="1">
        <v>3</v>
      </c>
      <c r="O66" s="1">
        <v>108</v>
      </c>
      <c r="P66" s="1">
        <v>111</v>
      </c>
      <c r="Q66" s="1" t="str" cm="1">
        <f t="array" ref="Q66">_xlfn.IFS(dataset3[[#This Row],[Windspeed]]&lt;=0.1,"0.00 -0.10",dataset3[[#This Row],[Windspeed]]&lt;=0.2,"0.10-0.20",dataset3[[#This Row],[Windspeed]]&lt;=0.3,"0.20-0.30",dataset3[[#This Row],[Windspeed]]&lt;=0.4,"0.30-0.40",dataset3[[#This Row],[Windspeed]]&lt;=0.5,"0.40-0.50",dataset3[[#This Row],[Windspeed]]&lt;=0.6,"0.50-0.60")</f>
        <v>0.10-0.20</v>
      </c>
      <c r="R66" s="1" t="str" cm="1">
        <f t="array" ref="R6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67" spans="1:18" x14ac:dyDescent="0.25">
      <c r="A67" s="1">
        <v>685</v>
      </c>
      <c r="B67" s="3">
        <v>40574</v>
      </c>
      <c r="C67" s="1">
        <v>1</v>
      </c>
      <c r="D67" s="1">
        <v>20</v>
      </c>
      <c r="E67" s="1" t="s">
        <v>27</v>
      </c>
      <c r="F67" s="1">
        <v>1</v>
      </c>
      <c r="G67" s="1">
        <v>3</v>
      </c>
      <c r="H67" s="1" t="str">
        <f t="shared" si="1"/>
        <v>Monday</v>
      </c>
      <c r="I67" s="1" t="str" cm="1">
        <f t="array" ref="I67">_xlfn.IFS(dataset3[[#This Row],[Weather sit]]=1,"1 Clear",dataset3[[#This Row],[Weather sit]]=2,"2 Misty/Cloudy",dataset3[[#This Row],[Weather sit]]=3,"3 Light Snow/Rain",dataset3[[#This Row],[Weather sit]]=4,"4 Heavy Snow/Rain")</f>
        <v>3 Light Snow/Rain</v>
      </c>
      <c r="J67" s="7">
        <v>0.16</v>
      </c>
      <c r="K67" s="7">
        <v>0.16669999999999999</v>
      </c>
      <c r="L67" s="7">
        <v>0.59</v>
      </c>
      <c r="M67" s="7">
        <v>0.16420000000000001</v>
      </c>
      <c r="N67" s="1">
        <v>0</v>
      </c>
      <c r="O67" s="1">
        <v>78</v>
      </c>
      <c r="P67" s="1">
        <v>78</v>
      </c>
      <c r="Q67" s="1" t="str" cm="1">
        <f t="array" ref="Q67">_xlfn.IFS(dataset3[[#This Row],[Windspeed]]&lt;=0.1,"0.00 -0.10",dataset3[[#This Row],[Windspeed]]&lt;=0.2,"0.10-0.20",dataset3[[#This Row],[Windspeed]]&lt;=0.3,"0.20-0.30",dataset3[[#This Row],[Windspeed]]&lt;=0.4,"0.30-0.40",dataset3[[#This Row],[Windspeed]]&lt;=0.5,"0.40-0.50",dataset3[[#This Row],[Windspeed]]&lt;=0.6,"0.50-0.60")</f>
        <v>0.10-0.20</v>
      </c>
      <c r="R67" s="1" t="str" cm="1">
        <f t="array" ref="R6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68" spans="1:18" x14ac:dyDescent="0.25">
      <c r="A68" s="1">
        <v>686</v>
      </c>
      <c r="B68" s="3">
        <v>40574</v>
      </c>
      <c r="C68" s="1">
        <v>1</v>
      </c>
      <c r="D68" s="1">
        <v>21</v>
      </c>
      <c r="E68" s="1" t="s">
        <v>27</v>
      </c>
      <c r="F68" s="1">
        <v>1</v>
      </c>
      <c r="G68" s="1">
        <v>3</v>
      </c>
      <c r="H68" s="1" t="str">
        <f t="shared" si="1"/>
        <v>Monday</v>
      </c>
      <c r="I68" s="1" t="str" cm="1">
        <f t="array" ref="I68">_xlfn.IFS(dataset3[[#This Row],[Weather sit]]=1,"1 Clear",dataset3[[#This Row],[Weather sit]]=2,"2 Misty/Cloudy",dataset3[[#This Row],[Weather sit]]=3,"3 Light Snow/Rain",dataset3[[#This Row],[Weather sit]]=4,"4 Heavy Snow/Rain")</f>
        <v>3 Light Snow/Rain</v>
      </c>
      <c r="J68" s="7">
        <v>0.16</v>
      </c>
      <c r="K68" s="7">
        <v>0.19700000000000001</v>
      </c>
      <c r="L68" s="7">
        <v>0.59</v>
      </c>
      <c r="M68" s="7">
        <v>8.9599999999999999E-2</v>
      </c>
      <c r="N68" s="1">
        <v>3</v>
      </c>
      <c r="O68" s="1">
        <v>53</v>
      </c>
      <c r="P68" s="1">
        <v>56</v>
      </c>
      <c r="Q68" s="1" t="str" cm="1">
        <f t="array" ref="Q68">_xlfn.IFS(dataset3[[#This Row],[Windspeed]]&lt;=0.1,"0.00 -0.10",dataset3[[#This Row],[Windspeed]]&lt;=0.2,"0.10-0.20",dataset3[[#This Row],[Windspeed]]&lt;=0.3,"0.20-0.30",dataset3[[#This Row],[Windspeed]]&lt;=0.4,"0.30-0.40",dataset3[[#This Row],[Windspeed]]&lt;=0.5,"0.40-0.50",dataset3[[#This Row],[Windspeed]]&lt;=0.6,"0.50-0.60")</f>
        <v>0.00 -0.10</v>
      </c>
      <c r="R68" s="1" t="str" cm="1">
        <f t="array" ref="R6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69" spans="1:18" x14ac:dyDescent="0.25">
      <c r="A69" s="1">
        <v>687</v>
      </c>
      <c r="B69" s="3">
        <v>40574</v>
      </c>
      <c r="C69" s="1">
        <v>1</v>
      </c>
      <c r="D69" s="1">
        <v>22</v>
      </c>
      <c r="E69" s="1" t="s">
        <v>27</v>
      </c>
      <c r="F69" s="1">
        <v>1</v>
      </c>
      <c r="G69" s="1">
        <v>2</v>
      </c>
      <c r="H69" s="1" t="str">
        <f t="shared" si="1"/>
        <v>Monday</v>
      </c>
      <c r="I69" s="1" t="str" cm="1">
        <f t="array" ref="I69">_xlfn.IFS(dataset3[[#This Row],[Weather sit]]=1,"1 Clear",dataset3[[#This Row],[Weather sit]]=2,"2 Misty/Cloudy",dataset3[[#This Row],[Weather sit]]=3,"3 Light Snow/Rain",dataset3[[#This Row],[Weather sit]]=4,"4 Heavy Snow/Rain")</f>
        <v>2 Misty/Cloudy</v>
      </c>
      <c r="J69" s="7">
        <v>0.16</v>
      </c>
      <c r="K69" s="7">
        <v>0.18179999999999999</v>
      </c>
      <c r="L69" s="7">
        <v>0.59</v>
      </c>
      <c r="M69" s="7">
        <v>0.1045</v>
      </c>
      <c r="N69" s="1">
        <v>0</v>
      </c>
      <c r="O69" s="1">
        <v>34</v>
      </c>
      <c r="P69" s="1">
        <v>34</v>
      </c>
      <c r="Q69" s="1" t="str" cm="1">
        <f t="array" ref="Q69">_xlfn.IFS(dataset3[[#This Row],[Windspeed]]&lt;=0.1,"0.00 -0.10",dataset3[[#This Row],[Windspeed]]&lt;=0.2,"0.10-0.20",dataset3[[#This Row],[Windspeed]]&lt;=0.3,"0.20-0.30",dataset3[[#This Row],[Windspeed]]&lt;=0.4,"0.30-0.40",dataset3[[#This Row],[Windspeed]]&lt;=0.5,"0.40-0.50",dataset3[[#This Row],[Windspeed]]&lt;=0.6,"0.50-0.60")</f>
        <v>0.10-0.20</v>
      </c>
      <c r="R69" s="1" t="str" cm="1">
        <f t="array" ref="R6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70" spans="1:18" x14ac:dyDescent="0.25">
      <c r="A70" s="1">
        <v>688</v>
      </c>
      <c r="B70" s="3">
        <v>40574</v>
      </c>
      <c r="C70" s="1">
        <v>1</v>
      </c>
      <c r="D70" s="1">
        <v>23</v>
      </c>
      <c r="E70" s="1" t="s">
        <v>27</v>
      </c>
      <c r="F70" s="1">
        <v>1</v>
      </c>
      <c r="G70" s="1">
        <v>2</v>
      </c>
      <c r="H70" s="1" t="str">
        <f t="shared" si="1"/>
        <v>Monday</v>
      </c>
      <c r="I70" s="1" t="str" cm="1">
        <f t="array" ref="I70">_xlfn.IFS(dataset3[[#This Row],[Weather sit]]=1,"1 Clear",dataset3[[#This Row],[Weather sit]]=2,"2 Misty/Cloudy",dataset3[[#This Row],[Weather sit]]=3,"3 Light Snow/Rain",dataset3[[#This Row],[Weather sit]]=4,"4 Heavy Snow/Rain")</f>
        <v>2 Misty/Cloudy</v>
      </c>
      <c r="J70" s="7">
        <v>0.16</v>
      </c>
      <c r="K70" s="7">
        <v>0.19700000000000001</v>
      </c>
      <c r="L70" s="7">
        <v>0.64</v>
      </c>
      <c r="M70" s="7">
        <v>8.9599999999999999E-2</v>
      </c>
      <c r="N70" s="1">
        <v>2</v>
      </c>
      <c r="O70" s="1">
        <v>15</v>
      </c>
      <c r="P70" s="1">
        <v>17</v>
      </c>
      <c r="Q70" s="1" t="str" cm="1">
        <f t="array" ref="Q70">_xlfn.IFS(dataset3[[#This Row],[Windspeed]]&lt;=0.1,"0.00 -0.10",dataset3[[#This Row],[Windspeed]]&lt;=0.2,"0.10-0.20",dataset3[[#This Row],[Windspeed]]&lt;=0.3,"0.20-0.30",dataset3[[#This Row],[Windspeed]]&lt;=0.4,"0.30-0.40",dataset3[[#This Row],[Windspeed]]&lt;=0.5,"0.40-0.50",dataset3[[#This Row],[Windspeed]]&lt;=0.6,"0.50-0.60")</f>
        <v>0.00 -0.10</v>
      </c>
      <c r="R70" s="1" t="str" cm="1">
        <f t="array" ref="R7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71" spans="1:18" x14ac:dyDescent="0.25">
      <c r="A71" s="1">
        <v>689</v>
      </c>
      <c r="B71" s="3">
        <v>40575</v>
      </c>
      <c r="C71" s="1">
        <v>1</v>
      </c>
      <c r="D71" s="1">
        <v>0</v>
      </c>
      <c r="E71" s="1" t="s">
        <v>27</v>
      </c>
      <c r="F71" s="1">
        <v>2</v>
      </c>
      <c r="G71" s="1">
        <v>2</v>
      </c>
      <c r="H71" s="1" t="str">
        <f t="shared" si="1"/>
        <v>Tuesday</v>
      </c>
      <c r="I71" s="1" t="str" cm="1">
        <f t="array" ref="I71">_xlfn.IFS(dataset3[[#This Row],[Weather sit]]=1,"1 Clear",dataset3[[#This Row],[Weather sit]]=2,"2 Misty/Cloudy",dataset3[[#This Row],[Weather sit]]=3,"3 Light Snow/Rain",dataset3[[#This Row],[Weather sit]]=4,"4 Heavy Snow/Rain")</f>
        <v>2 Misty/Cloudy</v>
      </c>
      <c r="J71" s="7">
        <v>0.16</v>
      </c>
      <c r="K71" s="7">
        <v>0.18179999999999999</v>
      </c>
      <c r="L71" s="7">
        <v>0.64</v>
      </c>
      <c r="M71" s="7">
        <v>0.1045</v>
      </c>
      <c r="N71" s="1">
        <v>2</v>
      </c>
      <c r="O71" s="1">
        <v>6</v>
      </c>
      <c r="P71" s="1">
        <v>8</v>
      </c>
      <c r="Q71" s="1" t="str" cm="1">
        <f t="array" ref="Q71">_xlfn.IFS(dataset3[[#This Row],[Windspeed]]&lt;=0.1,"0.00 -0.10",dataset3[[#This Row],[Windspeed]]&lt;=0.2,"0.10-0.20",dataset3[[#This Row],[Windspeed]]&lt;=0.3,"0.20-0.30",dataset3[[#This Row],[Windspeed]]&lt;=0.4,"0.30-0.40",dataset3[[#This Row],[Windspeed]]&lt;=0.5,"0.40-0.50",dataset3[[#This Row],[Windspeed]]&lt;=0.6,"0.50-0.60")</f>
        <v>0.10-0.20</v>
      </c>
      <c r="R71" s="1" t="str" cm="1">
        <f t="array" ref="R7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72" spans="1:18" x14ac:dyDescent="0.25">
      <c r="A72" s="1">
        <v>690</v>
      </c>
      <c r="B72" s="3">
        <v>40575</v>
      </c>
      <c r="C72" s="1">
        <v>1</v>
      </c>
      <c r="D72" s="1">
        <v>1</v>
      </c>
      <c r="E72" s="1" t="s">
        <v>27</v>
      </c>
      <c r="F72" s="1">
        <v>2</v>
      </c>
      <c r="G72" s="1">
        <v>2</v>
      </c>
      <c r="H72" s="1" t="str">
        <f t="shared" si="1"/>
        <v>Tuesday</v>
      </c>
      <c r="I72" s="1" t="str" cm="1">
        <f t="array" ref="I72">_xlfn.IFS(dataset3[[#This Row],[Weather sit]]=1,"1 Clear",dataset3[[#This Row],[Weather sit]]=2,"2 Misty/Cloudy",dataset3[[#This Row],[Weather sit]]=3,"3 Light Snow/Rain",dataset3[[#This Row],[Weather sit]]=4,"4 Heavy Snow/Rain")</f>
        <v>2 Misty/Cloudy</v>
      </c>
      <c r="J72" s="7">
        <v>0.16</v>
      </c>
      <c r="K72" s="7">
        <v>0.18179999999999999</v>
      </c>
      <c r="L72" s="7">
        <v>0.69</v>
      </c>
      <c r="M72" s="7">
        <v>0.1045</v>
      </c>
      <c r="N72" s="1">
        <v>0</v>
      </c>
      <c r="O72" s="1">
        <v>3</v>
      </c>
      <c r="P72" s="1">
        <v>3</v>
      </c>
      <c r="Q72" s="1" t="str" cm="1">
        <f t="array" ref="Q72">_xlfn.IFS(dataset3[[#This Row],[Windspeed]]&lt;=0.1,"0.00 -0.10",dataset3[[#This Row],[Windspeed]]&lt;=0.2,"0.10-0.20",dataset3[[#This Row],[Windspeed]]&lt;=0.3,"0.20-0.30",dataset3[[#This Row],[Windspeed]]&lt;=0.4,"0.30-0.40",dataset3[[#This Row],[Windspeed]]&lt;=0.5,"0.40-0.50",dataset3[[#This Row],[Windspeed]]&lt;=0.6,"0.50-0.60")</f>
        <v>0.10-0.20</v>
      </c>
      <c r="R72" s="1" t="str" cm="1">
        <f t="array" ref="R7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73" spans="1:18" x14ac:dyDescent="0.25">
      <c r="A73" s="1">
        <v>691</v>
      </c>
      <c r="B73" s="3">
        <v>40575</v>
      </c>
      <c r="C73" s="1">
        <v>1</v>
      </c>
      <c r="D73" s="1">
        <v>2</v>
      </c>
      <c r="E73" s="1" t="s">
        <v>27</v>
      </c>
      <c r="F73" s="1">
        <v>2</v>
      </c>
      <c r="G73" s="1">
        <v>2</v>
      </c>
      <c r="H73" s="1" t="str">
        <f t="shared" si="1"/>
        <v>Tuesday</v>
      </c>
      <c r="I73" s="1" t="str" cm="1">
        <f t="array" ref="I73">_xlfn.IFS(dataset3[[#This Row],[Weather sit]]=1,"1 Clear",dataset3[[#This Row],[Weather sit]]=2,"2 Misty/Cloudy",dataset3[[#This Row],[Weather sit]]=3,"3 Light Snow/Rain",dataset3[[#This Row],[Weather sit]]=4,"4 Heavy Snow/Rain")</f>
        <v>2 Misty/Cloudy</v>
      </c>
      <c r="J73" s="7">
        <v>0.16</v>
      </c>
      <c r="K73" s="7">
        <v>0.2273</v>
      </c>
      <c r="L73" s="7">
        <v>0.69</v>
      </c>
      <c r="M73" s="7">
        <v>0</v>
      </c>
      <c r="N73" s="1">
        <v>0</v>
      </c>
      <c r="O73" s="1">
        <v>2</v>
      </c>
      <c r="P73" s="1">
        <v>2</v>
      </c>
      <c r="Q73" s="1" t="str" cm="1">
        <f t="array" ref="Q73">_xlfn.IFS(dataset3[[#This Row],[Windspeed]]&lt;=0.1,"0.00 -0.10",dataset3[[#This Row],[Windspeed]]&lt;=0.2,"0.10-0.20",dataset3[[#This Row],[Windspeed]]&lt;=0.3,"0.20-0.30",dataset3[[#This Row],[Windspeed]]&lt;=0.4,"0.30-0.40",dataset3[[#This Row],[Windspeed]]&lt;=0.5,"0.40-0.50",dataset3[[#This Row],[Windspeed]]&lt;=0.6,"0.50-0.60")</f>
        <v>0.00 -0.10</v>
      </c>
      <c r="R73" s="1" t="str" cm="1">
        <f t="array" ref="R7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74" spans="1:18" x14ac:dyDescent="0.25">
      <c r="A74" s="1">
        <v>692</v>
      </c>
      <c r="B74" s="3">
        <v>40575</v>
      </c>
      <c r="C74" s="1">
        <v>1</v>
      </c>
      <c r="D74" s="1">
        <v>3</v>
      </c>
      <c r="E74" s="1" t="s">
        <v>27</v>
      </c>
      <c r="F74" s="1">
        <v>2</v>
      </c>
      <c r="G74" s="1">
        <v>2</v>
      </c>
      <c r="H74" s="1" t="str">
        <f t="shared" si="1"/>
        <v>Tuesday</v>
      </c>
      <c r="I74" s="1" t="str" cm="1">
        <f t="array" ref="I74">_xlfn.IFS(dataset3[[#This Row],[Weather sit]]=1,"1 Clear",dataset3[[#This Row],[Weather sit]]=2,"2 Misty/Cloudy",dataset3[[#This Row],[Weather sit]]=3,"3 Light Snow/Rain",dataset3[[#This Row],[Weather sit]]=4,"4 Heavy Snow/Rain")</f>
        <v>2 Misty/Cloudy</v>
      </c>
      <c r="J74" s="7">
        <v>0.16</v>
      </c>
      <c r="K74" s="7">
        <v>0.2273</v>
      </c>
      <c r="L74" s="7">
        <v>0.69</v>
      </c>
      <c r="M74" s="7">
        <v>0</v>
      </c>
      <c r="N74" s="1">
        <v>0</v>
      </c>
      <c r="O74" s="1">
        <v>2</v>
      </c>
      <c r="P74" s="1">
        <v>2</v>
      </c>
      <c r="Q74" s="1" t="str" cm="1">
        <f t="array" ref="Q74">_xlfn.IFS(dataset3[[#This Row],[Windspeed]]&lt;=0.1,"0.00 -0.10",dataset3[[#This Row],[Windspeed]]&lt;=0.2,"0.10-0.20",dataset3[[#This Row],[Windspeed]]&lt;=0.3,"0.20-0.30",dataset3[[#This Row],[Windspeed]]&lt;=0.4,"0.30-0.40",dataset3[[#This Row],[Windspeed]]&lt;=0.5,"0.40-0.50",dataset3[[#This Row],[Windspeed]]&lt;=0.6,"0.50-0.60")</f>
        <v>0.00 -0.10</v>
      </c>
      <c r="R74" s="1" t="str" cm="1">
        <f t="array" ref="R7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75" spans="1:18" x14ac:dyDescent="0.25">
      <c r="A75" s="1">
        <v>693</v>
      </c>
      <c r="B75" s="3">
        <v>40575</v>
      </c>
      <c r="C75" s="1">
        <v>1</v>
      </c>
      <c r="D75" s="1">
        <v>5</v>
      </c>
      <c r="E75" s="1" t="s">
        <v>27</v>
      </c>
      <c r="F75" s="1">
        <v>2</v>
      </c>
      <c r="G75" s="1">
        <v>3</v>
      </c>
      <c r="H75" s="1" t="str">
        <f t="shared" si="1"/>
        <v>Tuesday</v>
      </c>
      <c r="I75" s="1" t="str" cm="1">
        <f t="array" ref="I75">_xlfn.IFS(dataset3[[#This Row],[Weather sit]]=1,"1 Clear",dataset3[[#This Row],[Weather sit]]=2,"2 Misty/Cloudy",dataset3[[#This Row],[Weather sit]]=3,"3 Light Snow/Rain",dataset3[[#This Row],[Weather sit]]=4,"4 Heavy Snow/Rain")</f>
        <v>3 Light Snow/Rain</v>
      </c>
      <c r="J75" s="7">
        <v>0.14000000000000001</v>
      </c>
      <c r="K75" s="7">
        <v>0.21210000000000001</v>
      </c>
      <c r="L75" s="7">
        <v>0.93</v>
      </c>
      <c r="M75" s="7">
        <v>0</v>
      </c>
      <c r="N75" s="1">
        <v>0</v>
      </c>
      <c r="O75" s="1">
        <v>3</v>
      </c>
      <c r="P75" s="1">
        <v>3</v>
      </c>
      <c r="Q75" s="1" t="str" cm="1">
        <f t="array" ref="Q75">_xlfn.IFS(dataset3[[#This Row],[Windspeed]]&lt;=0.1,"0.00 -0.10",dataset3[[#This Row],[Windspeed]]&lt;=0.2,"0.10-0.20",dataset3[[#This Row],[Windspeed]]&lt;=0.3,"0.20-0.30",dataset3[[#This Row],[Windspeed]]&lt;=0.4,"0.30-0.40",dataset3[[#This Row],[Windspeed]]&lt;=0.5,"0.40-0.50",dataset3[[#This Row],[Windspeed]]&lt;=0.6,"0.50-0.60")</f>
        <v>0.00 -0.10</v>
      </c>
      <c r="R75" s="1" t="str" cm="1">
        <f t="array" ref="R7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76" spans="1:18" x14ac:dyDescent="0.25">
      <c r="A76" s="1">
        <v>694</v>
      </c>
      <c r="B76" s="3">
        <v>40575</v>
      </c>
      <c r="C76" s="1">
        <v>1</v>
      </c>
      <c r="D76" s="1">
        <v>6</v>
      </c>
      <c r="E76" s="1" t="s">
        <v>27</v>
      </c>
      <c r="F76" s="1">
        <v>2</v>
      </c>
      <c r="G76" s="1">
        <v>3</v>
      </c>
      <c r="H76" s="1" t="str">
        <f t="shared" si="1"/>
        <v>Tuesday</v>
      </c>
      <c r="I76" s="1" t="str" cm="1">
        <f t="array" ref="I76">_xlfn.IFS(dataset3[[#This Row],[Weather sit]]=1,"1 Clear",dataset3[[#This Row],[Weather sit]]=2,"2 Misty/Cloudy",dataset3[[#This Row],[Weather sit]]=3,"3 Light Snow/Rain",dataset3[[#This Row],[Weather sit]]=4,"4 Heavy Snow/Rain")</f>
        <v>3 Light Snow/Rain</v>
      </c>
      <c r="J76" s="7">
        <v>0.14000000000000001</v>
      </c>
      <c r="K76" s="7">
        <v>0.21210000000000001</v>
      </c>
      <c r="L76" s="7">
        <v>0.93</v>
      </c>
      <c r="M76" s="7">
        <v>0</v>
      </c>
      <c r="N76" s="1">
        <v>0</v>
      </c>
      <c r="O76" s="1">
        <v>22</v>
      </c>
      <c r="P76" s="1">
        <v>22</v>
      </c>
      <c r="Q76" s="1" t="str" cm="1">
        <f t="array" ref="Q76">_xlfn.IFS(dataset3[[#This Row],[Windspeed]]&lt;=0.1,"0.00 -0.10",dataset3[[#This Row],[Windspeed]]&lt;=0.2,"0.10-0.20",dataset3[[#This Row],[Windspeed]]&lt;=0.3,"0.20-0.30",dataset3[[#This Row],[Windspeed]]&lt;=0.4,"0.30-0.40",dataset3[[#This Row],[Windspeed]]&lt;=0.5,"0.40-0.50",dataset3[[#This Row],[Windspeed]]&lt;=0.6,"0.50-0.60")</f>
        <v>0.00 -0.10</v>
      </c>
      <c r="R76" s="1" t="str" cm="1">
        <f t="array" ref="R7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77" spans="1:18" x14ac:dyDescent="0.25">
      <c r="A77" s="1">
        <v>695</v>
      </c>
      <c r="B77" s="3">
        <v>40575</v>
      </c>
      <c r="C77" s="1">
        <v>1</v>
      </c>
      <c r="D77" s="1">
        <v>7</v>
      </c>
      <c r="E77" s="1" t="s">
        <v>27</v>
      </c>
      <c r="F77" s="1">
        <v>2</v>
      </c>
      <c r="G77" s="1">
        <v>3</v>
      </c>
      <c r="H77" s="1" t="str">
        <f t="shared" si="1"/>
        <v>Tuesday</v>
      </c>
      <c r="I77" s="1" t="str" cm="1">
        <f t="array" ref="I77">_xlfn.IFS(dataset3[[#This Row],[Weather sit]]=1,"1 Clear",dataset3[[#This Row],[Weather sit]]=2,"2 Misty/Cloudy",dataset3[[#This Row],[Weather sit]]=3,"3 Light Snow/Rain",dataset3[[#This Row],[Weather sit]]=4,"4 Heavy Snow/Rain")</f>
        <v>3 Light Snow/Rain</v>
      </c>
      <c r="J77" s="7">
        <v>0.16</v>
      </c>
      <c r="K77" s="7">
        <v>0.2273</v>
      </c>
      <c r="L77" s="7">
        <v>0.93</v>
      </c>
      <c r="M77" s="7">
        <v>0</v>
      </c>
      <c r="N77" s="1">
        <v>0</v>
      </c>
      <c r="O77" s="1">
        <v>52</v>
      </c>
      <c r="P77" s="1">
        <v>52</v>
      </c>
      <c r="Q77" s="1" t="str" cm="1">
        <f t="array" ref="Q77">_xlfn.IFS(dataset3[[#This Row],[Windspeed]]&lt;=0.1,"0.00 -0.10",dataset3[[#This Row],[Windspeed]]&lt;=0.2,"0.10-0.20",dataset3[[#This Row],[Windspeed]]&lt;=0.3,"0.20-0.30",dataset3[[#This Row],[Windspeed]]&lt;=0.4,"0.30-0.40",dataset3[[#This Row],[Windspeed]]&lt;=0.5,"0.40-0.50",dataset3[[#This Row],[Windspeed]]&lt;=0.6,"0.50-0.60")</f>
        <v>0.00 -0.10</v>
      </c>
      <c r="R77" s="1" t="str" cm="1">
        <f t="array" ref="R7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78" spans="1:18" x14ac:dyDescent="0.25">
      <c r="A78" s="1">
        <v>696</v>
      </c>
      <c r="B78" s="3">
        <v>40575</v>
      </c>
      <c r="C78" s="1">
        <v>1</v>
      </c>
      <c r="D78" s="1">
        <v>8</v>
      </c>
      <c r="E78" s="1" t="s">
        <v>27</v>
      </c>
      <c r="F78" s="1">
        <v>2</v>
      </c>
      <c r="G78" s="1">
        <v>3</v>
      </c>
      <c r="H78" s="1" t="str">
        <f t="shared" si="1"/>
        <v>Tuesday</v>
      </c>
      <c r="I78" s="1" t="str" cm="1">
        <f t="array" ref="I78">_xlfn.IFS(dataset3[[#This Row],[Weather sit]]=1,"1 Clear",dataset3[[#This Row],[Weather sit]]=2,"2 Misty/Cloudy",dataset3[[#This Row],[Weather sit]]=3,"3 Light Snow/Rain",dataset3[[#This Row],[Weather sit]]=4,"4 Heavy Snow/Rain")</f>
        <v>3 Light Snow/Rain</v>
      </c>
      <c r="J78" s="7">
        <v>0.16</v>
      </c>
      <c r="K78" s="7">
        <v>0.2273</v>
      </c>
      <c r="L78" s="7">
        <v>0.93</v>
      </c>
      <c r="M78" s="7">
        <v>0</v>
      </c>
      <c r="N78" s="1">
        <v>3</v>
      </c>
      <c r="O78" s="1">
        <v>132</v>
      </c>
      <c r="P78" s="1">
        <v>135</v>
      </c>
      <c r="Q78" s="1" t="str" cm="1">
        <f t="array" ref="Q78">_xlfn.IFS(dataset3[[#This Row],[Windspeed]]&lt;=0.1,"0.00 -0.10",dataset3[[#This Row],[Windspeed]]&lt;=0.2,"0.10-0.20",dataset3[[#This Row],[Windspeed]]&lt;=0.3,"0.20-0.30",dataset3[[#This Row],[Windspeed]]&lt;=0.4,"0.30-0.40",dataset3[[#This Row],[Windspeed]]&lt;=0.5,"0.40-0.50",dataset3[[#This Row],[Windspeed]]&lt;=0.6,"0.50-0.60")</f>
        <v>0.00 -0.10</v>
      </c>
      <c r="R78" s="1" t="str" cm="1">
        <f t="array" ref="R7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79" spans="1:18" x14ac:dyDescent="0.25">
      <c r="A79" s="1">
        <v>697</v>
      </c>
      <c r="B79" s="3">
        <v>40575</v>
      </c>
      <c r="C79" s="1">
        <v>1</v>
      </c>
      <c r="D79" s="1">
        <v>9</v>
      </c>
      <c r="E79" s="1" t="s">
        <v>27</v>
      </c>
      <c r="F79" s="1">
        <v>2</v>
      </c>
      <c r="G79" s="1">
        <v>2</v>
      </c>
      <c r="H79" s="1" t="str">
        <f t="shared" si="1"/>
        <v>Tuesday</v>
      </c>
      <c r="I79" s="1" t="str" cm="1">
        <f t="array" ref="I79">_xlfn.IFS(dataset3[[#This Row],[Weather sit]]=1,"1 Clear",dataset3[[#This Row],[Weather sit]]=2,"2 Misty/Cloudy",dataset3[[#This Row],[Weather sit]]=3,"3 Light Snow/Rain",dataset3[[#This Row],[Weather sit]]=4,"4 Heavy Snow/Rain")</f>
        <v>2 Misty/Cloudy</v>
      </c>
      <c r="J79" s="7">
        <v>0.16</v>
      </c>
      <c r="K79" s="7">
        <v>0.2273</v>
      </c>
      <c r="L79" s="7">
        <v>0.93</v>
      </c>
      <c r="M79" s="7">
        <v>0</v>
      </c>
      <c r="N79" s="1">
        <v>2</v>
      </c>
      <c r="O79" s="1">
        <v>114</v>
      </c>
      <c r="P79" s="1">
        <v>116</v>
      </c>
      <c r="Q79" s="1" t="str" cm="1">
        <f t="array" ref="Q79">_xlfn.IFS(dataset3[[#This Row],[Windspeed]]&lt;=0.1,"0.00 -0.10",dataset3[[#This Row],[Windspeed]]&lt;=0.2,"0.10-0.20",dataset3[[#This Row],[Windspeed]]&lt;=0.3,"0.20-0.30",dataset3[[#This Row],[Windspeed]]&lt;=0.4,"0.30-0.40",dataset3[[#This Row],[Windspeed]]&lt;=0.5,"0.40-0.50",dataset3[[#This Row],[Windspeed]]&lt;=0.6,"0.50-0.60")</f>
        <v>0.00 -0.10</v>
      </c>
      <c r="R79" s="1" t="str" cm="1">
        <f t="array" ref="R7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80" spans="1:18" x14ac:dyDescent="0.25">
      <c r="A80" s="1">
        <v>698</v>
      </c>
      <c r="B80" s="3">
        <v>40575</v>
      </c>
      <c r="C80" s="1">
        <v>1</v>
      </c>
      <c r="D80" s="1">
        <v>10</v>
      </c>
      <c r="E80" s="1" t="s">
        <v>27</v>
      </c>
      <c r="F80" s="1">
        <v>2</v>
      </c>
      <c r="G80" s="1">
        <v>2</v>
      </c>
      <c r="H80" s="1" t="str">
        <f t="shared" si="1"/>
        <v>Tuesday</v>
      </c>
      <c r="I80" s="1" t="str" cm="1">
        <f t="array" ref="I80">_xlfn.IFS(dataset3[[#This Row],[Weather sit]]=1,"1 Clear",dataset3[[#This Row],[Weather sit]]=2,"2 Misty/Cloudy",dataset3[[#This Row],[Weather sit]]=3,"3 Light Snow/Rain",dataset3[[#This Row],[Weather sit]]=4,"4 Heavy Snow/Rain")</f>
        <v>2 Misty/Cloudy</v>
      </c>
      <c r="J80" s="7">
        <v>0.16</v>
      </c>
      <c r="K80" s="7">
        <v>0.2273</v>
      </c>
      <c r="L80" s="7">
        <v>0.93</v>
      </c>
      <c r="M80" s="7">
        <v>0</v>
      </c>
      <c r="N80" s="1">
        <v>0</v>
      </c>
      <c r="O80" s="1">
        <v>47</v>
      </c>
      <c r="P80" s="1">
        <v>47</v>
      </c>
      <c r="Q80" s="1" t="str" cm="1">
        <f t="array" ref="Q80">_xlfn.IFS(dataset3[[#This Row],[Windspeed]]&lt;=0.1,"0.00 -0.10",dataset3[[#This Row],[Windspeed]]&lt;=0.2,"0.10-0.20",dataset3[[#This Row],[Windspeed]]&lt;=0.3,"0.20-0.30",dataset3[[#This Row],[Windspeed]]&lt;=0.4,"0.30-0.40",dataset3[[#This Row],[Windspeed]]&lt;=0.5,"0.40-0.50",dataset3[[#This Row],[Windspeed]]&lt;=0.6,"0.50-0.60")</f>
        <v>0.00 -0.10</v>
      </c>
      <c r="R80" s="1" t="str" cm="1">
        <f t="array" ref="R8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81" spans="1:18" x14ac:dyDescent="0.25">
      <c r="A81" s="1">
        <v>699</v>
      </c>
      <c r="B81" s="3">
        <v>40575</v>
      </c>
      <c r="C81" s="1">
        <v>1</v>
      </c>
      <c r="D81" s="1">
        <v>11</v>
      </c>
      <c r="E81" s="1" t="s">
        <v>27</v>
      </c>
      <c r="F81" s="1">
        <v>2</v>
      </c>
      <c r="G81" s="1">
        <v>2</v>
      </c>
      <c r="H81" s="1" t="str">
        <f t="shared" si="1"/>
        <v>Tuesday</v>
      </c>
      <c r="I81" s="1" t="str" cm="1">
        <f t="array" ref="I81">_xlfn.IFS(dataset3[[#This Row],[Weather sit]]=1,"1 Clear",dataset3[[#This Row],[Weather sit]]=2,"2 Misty/Cloudy",dataset3[[#This Row],[Weather sit]]=3,"3 Light Snow/Rain",dataset3[[#This Row],[Weather sit]]=4,"4 Heavy Snow/Rain")</f>
        <v>2 Misty/Cloudy</v>
      </c>
      <c r="J81" s="7">
        <v>0.18</v>
      </c>
      <c r="K81" s="7">
        <v>0.2424</v>
      </c>
      <c r="L81" s="7">
        <v>0.86</v>
      </c>
      <c r="M81" s="7">
        <v>0</v>
      </c>
      <c r="N81" s="1">
        <v>2</v>
      </c>
      <c r="O81" s="1">
        <v>49</v>
      </c>
      <c r="P81" s="1">
        <v>51</v>
      </c>
      <c r="Q81" s="1" t="str" cm="1">
        <f t="array" ref="Q81">_xlfn.IFS(dataset3[[#This Row],[Windspeed]]&lt;=0.1,"0.00 -0.10",dataset3[[#This Row],[Windspeed]]&lt;=0.2,"0.10-0.20",dataset3[[#This Row],[Windspeed]]&lt;=0.3,"0.20-0.30",dataset3[[#This Row],[Windspeed]]&lt;=0.4,"0.30-0.40",dataset3[[#This Row],[Windspeed]]&lt;=0.5,"0.40-0.50",dataset3[[#This Row],[Windspeed]]&lt;=0.6,"0.50-0.60")</f>
        <v>0.00 -0.10</v>
      </c>
      <c r="R81" s="1" t="str" cm="1">
        <f t="array" ref="R8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82" spans="1:18" x14ac:dyDescent="0.25">
      <c r="A82" s="1">
        <v>700</v>
      </c>
      <c r="B82" s="3">
        <v>40575</v>
      </c>
      <c r="C82" s="1">
        <v>1</v>
      </c>
      <c r="D82" s="1">
        <v>12</v>
      </c>
      <c r="E82" s="1" t="s">
        <v>27</v>
      </c>
      <c r="F82" s="1">
        <v>2</v>
      </c>
      <c r="G82" s="1">
        <v>2</v>
      </c>
      <c r="H82" s="1" t="str">
        <f t="shared" si="1"/>
        <v>Tuesday</v>
      </c>
      <c r="I82" s="1" t="str" cm="1">
        <f t="array" ref="I82">_xlfn.IFS(dataset3[[#This Row],[Weather sit]]=1,"1 Clear",dataset3[[#This Row],[Weather sit]]=2,"2 Misty/Cloudy",dataset3[[#This Row],[Weather sit]]=3,"3 Light Snow/Rain",dataset3[[#This Row],[Weather sit]]=4,"4 Heavy Snow/Rain")</f>
        <v>2 Misty/Cloudy</v>
      </c>
      <c r="J82" s="7">
        <v>0.2</v>
      </c>
      <c r="K82" s="7">
        <v>0.2576</v>
      </c>
      <c r="L82" s="7">
        <v>0.86</v>
      </c>
      <c r="M82" s="7">
        <v>0</v>
      </c>
      <c r="N82" s="1">
        <v>2</v>
      </c>
      <c r="O82" s="1">
        <v>53</v>
      </c>
      <c r="P82" s="1">
        <v>55</v>
      </c>
      <c r="Q82" s="1" t="str" cm="1">
        <f t="array" ref="Q82">_xlfn.IFS(dataset3[[#This Row],[Windspeed]]&lt;=0.1,"0.00 -0.10",dataset3[[#This Row],[Windspeed]]&lt;=0.2,"0.10-0.20",dataset3[[#This Row],[Windspeed]]&lt;=0.3,"0.20-0.30",dataset3[[#This Row],[Windspeed]]&lt;=0.4,"0.30-0.40",dataset3[[#This Row],[Windspeed]]&lt;=0.5,"0.40-0.50",dataset3[[#This Row],[Windspeed]]&lt;=0.6,"0.50-0.60")</f>
        <v>0.00 -0.10</v>
      </c>
      <c r="R82" s="1" t="str" cm="1">
        <f t="array" ref="R8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83" spans="1:18" x14ac:dyDescent="0.25">
      <c r="A83" s="1">
        <v>701</v>
      </c>
      <c r="B83" s="3">
        <v>40575</v>
      </c>
      <c r="C83" s="1">
        <v>1</v>
      </c>
      <c r="D83" s="1">
        <v>13</v>
      </c>
      <c r="E83" s="1" t="s">
        <v>27</v>
      </c>
      <c r="F83" s="1">
        <v>2</v>
      </c>
      <c r="G83" s="1">
        <v>2</v>
      </c>
      <c r="H83" s="1" t="str">
        <f t="shared" si="1"/>
        <v>Tuesday</v>
      </c>
      <c r="I83" s="1" t="str" cm="1">
        <f t="array" ref="I83">_xlfn.IFS(dataset3[[#This Row],[Weather sit]]=1,"1 Clear",dataset3[[#This Row],[Weather sit]]=2,"2 Misty/Cloudy",dataset3[[#This Row],[Weather sit]]=3,"3 Light Snow/Rain",dataset3[[#This Row],[Weather sit]]=4,"4 Heavy Snow/Rain")</f>
        <v>2 Misty/Cloudy</v>
      </c>
      <c r="J83" s="7">
        <v>0.2</v>
      </c>
      <c r="K83" s="7">
        <v>0.2576</v>
      </c>
      <c r="L83" s="7">
        <v>0.86</v>
      </c>
      <c r="M83" s="7">
        <v>0</v>
      </c>
      <c r="N83" s="1">
        <v>3</v>
      </c>
      <c r="O83" s="1">
        <v>49</v>
      </c>
      <c r="P83" s="1">
        <v>52</v>
      </c>
      <c r="Q83" s="1" t="str" cm="1">
        <f t="array" ref="Q83">_xlfn.IFS(dataset3[[#This Row],[Windspeed]]&lt;=0.1,"0.00 -0.10",dataset3[[#This Row],[Windspeed]]&lt;=0.2,"0.10-0.20",dataset3[[#This Row],[Windspeed]]&lt;=0.3,"0.20-0.30",dataset3[[#This Row],[Windspeed]]&lt;=0.4,"0.30-0.40",dataset3[[#This Row],[Windspeed]]&lt;=0.5,"0.40-0.50",dataset3[[#This Row],[Windspeed]]&lt;=0.6,"0.50-0.60")</f>
        <v>0.00 -0.10</v>
      </c>
      <c r="R83" s="1" t="str" cm="1">
        <f t="array" ref="R8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84" spans="1:18" x14ac:dyDescent="0.25">
      <c r="A84" s="1">
        <v>702</v>
      </c>
      <c r="B84" s="3">
        <v>40575</v>
      </c>
      <c r="C84" s="1">
        <v>1</v>
      </c>
      <c r="D84" s="1">
        <v>14</v>
      </c>
      <c r="E84" s="1" t="s">
        <v>27</v>
      </c>
      <c r="F84" s="1">
        <v>2</v>
      </c>
      <c r="G84" s="1">
        <v>2</v>
      </c>
      <c r="H84" s="1" t="str">
        <f t="shared" si="1"/>
        <v>Tuesday</v>
      </c>
      <c r="I84" s="1" t="str" cm="1">
        <f t="array" ref="I84">_xlfn.IFS(dataset3[[#This Row],[Weather sit]]=1,"1 Clear",dataset3[[#This Row],[Weather sit]]=2,"2 Misty/Cloudy",dataset3[[#This Row],[Weather sit]]=3,"3 Light Snow/Rain",dataset3[[#This Row],[Weather sit]]=4,"4 Heavy Snow/Rain")</f>
        <v>2 Misty/Cloudy</v>
      </c>
      <c r="J84" s="7">
        <v>0.22</v>
      </c>
      <c r="K84" s="7">
        <v>0.2576</v>
      </c>
      <c r="L84" s="7">
        <v>0.8</v>
      </c>
      <c r="M84" s="7">
        <v>8.9599999999999999E-2</v>
      </c>
      <c r="N84" s="1">
        <v>5</v>
      </c>
      <c r="O84" s="1">
        <v>49</v>
      </c>
      <c r="P84" s="1">
        <v>54</v>
      </c>
      <c r="Q84" s="1" t="str" cm="1">
        <f t="array" ref="Q84">_xlfn.IFS(dataset3[[#This Row],[Windspeed]]&lt;=0.1,"0.00 -0.10",dataset3[[#This Row],[Windspeed]]&lt;=0.2,"0.10-0.20",dataset3[[#This Row],[Windspeed]]&lt;=0.3,"0.20-0.30",dataset3[[#This Row],[Windspeed]]&lt;=0.4,"0.30-0.40",dataset3[[#This Row],[Windspeed]]&lt;=0.5,"0.40-0.50",dataset3[[#This Row],[Windspeed]]&lt;=0.6,"0.50-0.60")</f>
        <v>0.00 -0.10</v>
      </c>
      <c r="R84" s="1" t="str" cm="1">
        <f t="array" ref="R8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85" spans="1:18" x14ac:dyDescent="0.25">
      <c r="A85" s="1">
        <v>703</v>
      </c>
      <c r="B85" s="3">
        <v>40575</v>
      </c>
      <c r="C85" s="1">
        <v>1</v>
      </c>
      <c r="D85" s="1">
        <v>15</v>
      </c>
      <c r="E85" s="1" t="s">
        <v>27</v>
      </c>
      <c r="F85" s="1">
        <v>2</v>
      </c>
      <c r="G85" s="1">
        <v>2</v>
      </c>
      <c r="H85" s="1" t="str">
        <f t="shared" si="1"/>
        <v>Tuesday</v>
      </c>
      <c r="I85" s="1" t="str" cm="1">
        <f t="array" ref="I85">_xlfn.IFS(dataset3[[#This Row],[Weather sit]]=1,"1 Clear",dataset3[[#This Row],[Weather sit]]=2,"2 Misty/Cloudy",dataset3[[#This Row],[Weather sit]]=3,"3 Light Snow/Rain",dataset3[[#This Row],[Weather sit]]=4,"4 Heavy Snow/Rain")</f>
        <v>2 Misty/Cloudy</v>
      </c>
      <c r="J85" s="7">
        <v>0.24</v>
      </c>
      <c r="K85" s="7">
        <v>0.28789999999999999</v>
      </c>
      <c r="L85" s="7">
        <v>0.75</v>
      </c>
      <c r="M85" s="7">
        <v>0</v>
      </c>
      <c r="N85" s="1">
        <v>7</v>
      </c>
      <c r="O85" s="1">
        <v>45</v>
      </c>
      <c r="P85" s="1">
        <v>52</v>
      </c>
      <c r="Q85" s="1" t="str" cm="1">
        <f t="array" ref="Q85">_xlfn.IFS(dataset3[[#This Row],[Windspeed]]&lt;=0.1,"0.00 -0.10",dataset3[[#This Row],[Windspeed]]&lt;=0.2,"0.10-0.20",dataset3[[#This Row],[Windspeed]]&lt;=0.3,"0.20-0.30",dataset3[[#This Row],[Windspeed]]&lt;=0.4,"0.30-0.40",dataset3[[#This Row],[Windspeed]]&lt;=0.5,"0.40-0.50",dataset3[[#This Row],[Windspeed]]&lt;=0.6,"0.50-0.60")</f>
        <v>0.00 -0.10</v>
      </c>
      <c r="R85" s="1" t="str" cm="1">
        <f t="array" ref="R8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86" spans="1:18" x14ac:dyDescent="0.25">
      <c r="A86" s="1">
        <v>704</v>
      </c>
      <c r="B86" s="3">
        <v>40575</v>
      </c>
      <c r="C86" s="1">
        <v>1</v>
      </c>
      <c r="D86" s="1">
        <v>16</v>
      </c>
      <c r="E86" s="1" t="s">
        <v>27</v>
      </c>
      <c r="F86" s="1">
        <v>2</v>
      </c>
      <c r="G86" s="1">
        <v>2</v>
      </c>
      <c r="H86" s="1" t="str">
        <f t="shared" si="1"/>
        <v>Tuesday</v>
      </c>
      <c r="I86" s="1" t="str" cm="1">
        <f t="array" ref="I86">_xlfn.IFS(dataset3[[#This Row],[Weather sit]]=1,"1 Clear",dataset3[[#This Row],[Weather sit]]=2,"2 Misty/Cloudy",dataset3[[#This Row],[Weather sit]]=3,"3 Light Snow/Rain",dataset3[[#This Row],[Weather sit]]=4,"4 Heavy Snow/Rain")</f>
        <v>2 Misty/Cloudy</v>
      </c>
      <c r="J86" s="7">
        <v>0.24</v>
      </c>
      <c r="K86" s="7">
        <v>0.2424</v>
      </c>
      <c r="L86" s="7">
        <v>0.75</v>
      </c>
      <c r="M86" s="7">
        <v>0.1343</v>
      </c>
      <c r="N86" s="1">
        <v>3</v>
      </c>
      <c r="O86" s="1">
        <v>61</v>
      </c>
      <c r="P86" s="1">
        <v>64</v>
      </c>
      <c r="Q86" s="1" t="str" cm="1">
        <f t="array" ref="Q86">_xlfn.IFS(dataset3[[#This Row],[Windspeed]]&lt;=0.1,"0.00 -0.10",dataset3[[#This Row],[Windspeed]]&lt;=0.2,"0.10-0.20",dataset3[[#This Row],[Windspeed]]&lt;=0.3,"0.20-0.30",dataset3[[#This Row],[Windspeed]]&lt;=0.4,"0.30-0.40",dataset3[[#This Row],[Windspeed]]&lt;=0.5,"0.40-0.50",dataset3[[#This Row],[Windspeed]]&lt;=0.6,"0.50-0.60")</f>
        <v>0.10-0.20</v>
      </c>
      <c r="R86" s="1" t="str" cm="1">
        <f t="array" ref="R8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87" spans="1:18" x14ac:dyDescent="0.25">
      <c r="A87" s="1">
        <v>705</v>
      </c>
      <c r="B87" s="3">
        <v>40575</v>
      </c>
      <c r="C87" s="1">
        <v>1</v>
      </c>
      <c r="D87" s="1">
        <v>17</v>
      </c>
      <c r="E87" s="1" t="s">
        <v>27</v>
      </c>
      <c r="F87" s="1">
        <v>2</v>
      </c>
      <c r="G87" s="1">
        <v>2</v>
      </c>
      <c r="H87" s="1" t="str">
        <f t="shared" si="1"/>
        <v>Tuesday</v>
      </c>
      <c r="I87" s="1" t="str" cm="1">
        <f t="array" ref="I87">_xlfn.IFS(dataset3[[#This Row],[Weather sit]]=1,"1 Clear",dataset3[[#This Row],[Weather sit]]=2,"2 Misty/Cloudy",dataset3[[#This Row],[Weather sit]]=3,"3 Light Snow/Rain",dataset3[[#This Row],[Weather sit]]=4,"4 Heavy Snow/Rain")</f>
        <v>2 Misty/Cloudy</v>
      </c>
      <c r="J87" s="7">
        <v>0.24</v>
      </c>
      <c r="K87" s="7">
        <v>0.28789999999999999</v>
      </c>
      <c r="L87" s="7">
        <v>0.75</v>
      </c>
      <c r="M87" s="7">
        <v>0</v>
      </c>
      <c r="N87" s="1">
        <v>4</v>
      </c>
      <c r="O87" s="1">
        <v>172</v>
      </c>
      <c r="P87" s="1">
        <v>176</v>
      </c>
      <c r="Q87" s="1" t="str" cm="1">
        <f t="array" ref="Q87">_xlfn.IFS(dataset3[[#This Row],[Windspeed]]&lt;=0.1,"0.00 -0.10",dataset3[[#This Row],[Windspeed]]&lt;=0.2,"0.10-0.20",dataset3[[#This Row],[Windspeed]]&lt;=0.3,"0.20-0.30",dataset3[[#This Row],[Windspeed]]&lt;=0.4,"0.30-0.40",dataset3[[#This Row],[Windspeed]]&lt;=0.5,"0.40-0.50",dataset3[[#This Row],[Windspeed]]&lt;=0.6,"0.50-0.60")</f>
        <v>0.00 -0.10</v>
      </c>
      <c r="R87" s="1" t="str" cm="1">
        <f t="array" ref="R8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88" spans="1:18" x14ac:dyDescent="0.25">
      <c r="A88" s="1">
        <v>706</v>
      </c>
      <c r="B88" s="3">
        <v>40575</v>
      </c>
      <c r="C88" s="1">
        <v>1</v>
      </c>
      <c r="D88" s="1">
        <v>18</v>
      </c>
      <c r="E88" s="1" t="s">
        <v>27</v>
      </c>
      <c r="F88" s="1">
        <v>2</v>
      </c>
      <c r="G88" s="1">
        <v>2</v>
      </c>
      <c r="H88" s="1" t="str">
        <f t="shared" si="1"/>
        <v>Tuesday</v>
      </c>
      <c r="I88" s="1" t="str" cm="1">
        <f t="array" ref="I88">_xlfn.IFS(dataset3[[#This Row],[Weather sit]]=1,"1 Clear",dataset3[[#This Row],[Weather sit]]=2,"2 Misty/Cloudy",dataset3[[#This Row],[Weather sit]]=3,"3 Light Snow/Rain",dataset3[[#This Row],[Weather sit]]=4,"4 Heavy Snow/Rain")</f>
        <v>2 Misty/Cloudy</v>
      </c>
      <c r="J88" s="7">
        <v>0.24</v>
      </c>
      <c r="K88" s="7">
        <v>0.2576</v>
      </c>
      <c r="L88" s="7">
        <v>0.81</v>
      </c>
      <c r="M88" s="7">
        <v>0.1045</v>
      </c>
      <c r="N88" s="1">
        <v>3</v>
      </c>
      <c r="O88" s="1">
        <v>165</v>
      </c>
      <c r="P88" s="1">
        <v>168</v>
      </c>
      <c r="Q88" s="1" t="str" cm="1">
        <f t="array" ref="Q88">_xlfn.IFS(dataset3[[#This Row],[Windspeed]]&lt;=0.1,"0.00 -0.10",dataset3[[#This Row],[Windspeed]]&lt;=0.2,"0.10-0.20",dataset3[[#This Row],[Windspeed]]&lt;=0.3,"0.20-0.30",dataset3[[#This Row],[Windspeed]]&lt;=0.4,"0.30-0.40",dataset3[[#This Row],[Windspeed]]&lt;=0.5,"0.40-0.50",dataset3[[#This Row],[Windspeed]]&lt;=0.6,"0.50-0.60")</f>
        <v>0.10-0.20</v>
      </c>
      <c r="R88" s="1" t="str" cm="1">
        <f t="array" ref="R8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89" spans="1:18" x14ac:dyDescent="0.25">
      <c r="A89" s="1">
        <v>707</v>
      </c>
      <c r="B89" s="3">
        <v>40575</v>
      </c>
      <c r="C89" s="1">
        <v>1</v>
      </c>
      <c r="D89" s="1">
        <v>19</v>
      </c>
      <c r="E89" s="1" t="s">
        <v>27</v>
      </c>
      <c r="F89" s="1">
        <v>2</v>
      </c>
      <c r="G89" s="1">
        <v>2</v>
      </c>
      <c r="H89" s="1" t="str">
        <f t="shared" si="1"/>
        <v>Tuesday</v>
      </c>
      <c r="I89" s="1" t="str" cm="1">
        <f t="array" ref="I89">_xlfn.IFS(dataset3[[#This Row],[Weather sit]]=1,"1 Clear",dataset3[[#This Row],[Weather sit]]=2,"2 Misty/Cloudy",dataset3[[#This Row],[Weather sit]]=3,"3 Light Snow/Rain",dataset3[[#This Row],[Weather sit]]=4,"4 Heavy Snow/Rain")</f>
        <v>2 Misty/Cloudy</v>
      </c>
      <c r="J89" s="7">
        <v>0.24</v>
      </c>
      <c r="K89" s="7">
        <v>0.2424</v>
      </c>
      <c r="L89" s="7">
        <v>0.81</v>
      </c>
      <c r="M89" s="7">
        <v>0.1343</v>
      </c>
      <c r="N89" s="1">
        <v>3</v>
      </c>
      <c r="O89" s="1">
        <v>105</v>
      </c>
      <c r="P89" s="1">
        <v>108</v>
      </c>
      <c r="Q89" s="1" t="str" cm="1">
        <f t="array" ref="Q89">_xlfn.IFS(dataset3[[#This Row],[Windspeed]]&lt;=0.1,"0.00 -0.10",dataset3[[#This Row],[Windspeed]]&lt;=0.2,"0.10-0.20",dataset3[[#This Row],[Windspeed]]&lt;=0.3,"0.20-0.30",dataset3[[#This Row],[Windspeed]]&lt;=0.4,"0.30-0.40",dataset3[[#This Row],[Windspeed]]&lt;=0.5,"0.40-0.50",dataset3[[#This Row],[Windspeed]]&lt;=0.6,"0.50-0.60")</f>
        <v>0.10-0.20</v>
      </c>
      <c r="R89" s="1" t="str" cm="1">
        <f t="array" ref="R8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90" spans="1:18" x14ac:dyDescent="0.25">
      <c r="A90" s="1">
        <v>708</v>
      </c>
      <c r="B90" s="3">
        <v>40575</v>
      </c>
      <c r="C90" s="1">
        <v>1</v>
      </c>
      <c r="D90" s="1">
        <v>20</v>
      </c>
      <c r="E90" s="1" t="s">
        <v>27</v>
      </c>
      <c r="F90" s="1">
        <v>2</v>
      </c>
      <c r="G90" s="1">
        <v>2</v>
      </c>
      <c r="H90" s="1" t="str">
        <f t="shared" si="1"/>
        <v>Tuesday</v>
      </c>
      <c r="I90" s="1" t="str" cm="1">
        <f t="array" ref="I90">_xlfn.IFS(dataset3[[#This Row],[Weather sit]]=1,"1 Clear",dataset3[[#This Row],[Weather sit]]=2,"2 Misty/Cloudy",dataset3[[#This Row],[Weather sit]]=3,"3 Light Snow/Rain",dataset3[[#This Row],[Weather sit]]=4,"4 Heavy Snow/Rain")</f>
        <v>2 Misty/Cloudy</v>
      </c>
      <c r="J90" s="7">
        <v>0.22</v>
      </c>
      <c r="K90" s="7">
        <v>0.2273</v>
      </c>
      <c r="L90" s="7">
        <v>0.87</v>
      </c>
      <c r="M90" s="7">
        <v>0.1343</v>
      </c>
      <c r="N90" s="1">
        <v>5</v>
      </c>
      <c r="O90" s="1">
        <v>69</v>
      </c>
      <c r="P90" s="1">
        <v>74</v>
      </c>
      <c r="Q90" s="1" t="str" cm="1">
        <f t="array" ref="Q90">_xlfn.IFS(dataset3[[#This Row],[Windspeed]]&lt;=0.1,"0.00 -0.10",dataset3[[#This Row],[Windspeed]]&lt;=0.2,"0.10-0.20",dataset3[[#This Row],[Windspeed]]&lt;=0.3,"0.20-0.30",dataset3[[#This Row],[Windspeed]]&lt;=0.4,"0.30-0.40",dataset3[[#This Row],[Windspeed]]&lt;=0.5,"0.40-0.50",dataset3[[#This Row],[Windspeed]]&lt;=0.6,"0.50-0.60")</f>
        <v>0.10-0.20</v>
      </c>
      <c r="R90" s="1" t="str" cm="1">
        <f t="array" ref="R9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91" spans="1:18" x14ac:dyDescent="0.25">
      <c r="A91" s="1">
        <v>709</v>
      </c>
      <c r="B91" s="3">
        <v>40575</v>
      </c>
      <c r="C91" s="1">
        <v>1</v>
      </c>
      <c r="D91" s="1">
        <v>21</v>
      </c>
      <c r="E91" s="1" t="s">
        <v>27</v>
      </c>
      <c r="F91" s="1">
        <v>2</v>
      </c>
      <c r="G91" s="1">
        <v>2</v>
      </c>
      <c r="H91" s="1" t="str">
        <f t="shared" si="1"/>
        <v>Tuesday</v>
      </c>
      <c r="I91" s="1" t="str" cm="1">
        <f t="array" ref="I91">_xlfn.IFS(dataset3[[#This Row],[Weather sit]]=1,"1 Clear",dataset3[[#This Row],[Weather sit]]=2,"2 Misty/Cloudy",dataset3[[#This Row],[Weather sit]]=3,"3 Light Snow/Rain",dataset3[[#This Row],[Weather sit]]=4,"4 Heavy Snow/Rain")</f>
        <v>2 Misty/Cloudy</v>
      </c>
      <c r="J91" s="7">
        <v>0.22</v>
      </c>
      <c r="K91" s="7">
        <v>0.2273</v>
      </c>
      <c r="L91" s="7">
        <v>0.87</v>
      </c>
      <c r="M91" s="7">
        <v>0.1343</v>
      </c>
      <c r="N91" s="1">
        <v>0</v>
      </c>
      <c r="O91" s="1">
        <v>64</v>
      </c>
      <c r="P91" s="1">
        <v>64</v>
      </c>
      <c r="Q91" s="1" t="str" cm="1">
        <f t="array" ref="Q91">_xlfn.IFS(dataset3[[#This Row],[Windspeed]]&lt;=0.1,"0.00 -0.10",dataset3[[#This Row],[Windspeed]]&lt;=0.2,"0.10-0.20",dataset3[[#This Row],[Windspeed]]&lt;=0.3,"0.20-0.30",dataset3[[#This Row],[Windspeed]]&lt;=0.4,"0.30-0.40",dataset3[[#This Row],[Windspeed]]&lt;=0.5,"0.40-0.50",dataset3[[#This Row],[Windspeed]]&lt;=0.6,"0.50-0.60")</f>
        <v>0.10-0.20</v>
      </c>
      <c r="R91" s="1" t="str" cm="1">
        <f t="array" ref="R9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92" spans="1:18" x14ac:dyDescent="0.25">
      <c r="A92" s="1">
        <v>710</v>
      </c>
      <c r="B92" s="3">
        <v>40575</v>
      </c>
      <c r="C92" s="1">
        <v>1</v>
      </c>
      <c r="D92" s="1">
        <v>22</v>
      </c>
      <c r="E92" s="1" t="s">
        <v>27</v>
      </c>
      <c r="F92" s="1">
        <v>2</v>
      </c>
      <c r="G92" s="1">
        <v>2</v>
      </c>
      <c r="H92" s="1" t="str">
        <f t="shared" si="1"/>
        <v>Tuesday</v>
      </c>
      <c r="I92" s="1" t="str" cm="1">
        <f t="array" ref="I92">_xlfn.IFS(dataset3[[#This Row],[Weather sit]]=1,"1 Clear",dataset3[[#This Row],[Weather sit]]=2,"2 Misty/Cloudy",dataset3[[#This Row],[Weather sit]]=3,"3 Light Snow/Rain",dataset3[[#This Row],[Weather sit]]=4,"4 Heavy Snow/Rain")</f>
        <v>2 Misty/Cloudy</v>
      </c>
      <c r="J92" s="7">
        <v>0.22</v>
      </c>
      <c r="K92" s="7">
        <v>0.2576</v>
      </c>
      <c r="L92" s="7">
        <v>0.87</v>
      </c>
      <c r="M92" s="7">
        <v>8.9599999999999999E-2</v>
      </c>
      <c r="N92" s="1">
        <v>2</v>
      </c>
      <c r="O92" s="1">
        <v>34</v>
      </c>
      <c r="P92" s="1">
        <v>36</v>
      </c>
      <c r="Q92" s="1" t="str" cm="1">
        <f t="array" ref="Q92">_xlfn.IFS(dataset3[[#This Row],[Windspeed]]&lt;=0.1,"0.00 -0.10",dataset3[[#This Row],[Windspeed]]&lt;=0.2,"0.10-0.20",dataset3[[#This Row],[Windspeed]]&lt;=0.3,"0.20-0.30",dataset3[[#This Row],[Windspeed]]&lt;=0.4,"0.30-0.40",dataset3[[#This Row],[Windspeed]]&lt;=0.5,"0.40-0.50",dataset3[[#This Row],[Windspeed]]&lt;=0.6,"0.50-0.60")</f>
        <v>0.00 -0.10</v>
      </c>
      <c r="R92" s="1" t="str" cm="1">
        <f t="array" ref="R9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93" spans="1:18" x14ac:dyDescent="0.25">
      <c r="A93" s="1">
        <v>711</v>
      </c>
      <c r="B93" s="3">
        <v>40575</v>
      </c>
      <c r="C93" s="1">
        <v>1</v>
      </c>
      <c r="D93" s="1">
        <v>23</v>
      </c>
      <c r="E93" s="1" t="s">
        <v>27</v>
      </c>
      <c r="F93" s="1">
        <v>2</v>
      </c>
      <c r="G93" s="1">
        <v>3</v>
      </c>
      <c r="H93" s="1" t="str">
        <f t="shared" si="1"/>
        <v>Tuesday</v>
      </c>
      <c r="I93" s="1" t="str" cm="1">
        <f t="array" ref="I93">_xlfn.IFS(dataset3[[#This Row],[Weather sit]]=1,"1 Clear",dataset3[[#This Row],[Weather sit]]=2,"2 Misty/Cloudy",dataset3[[#This Row],[Weather sit]]=3,"3 Light Snow/Rain",dataset3[[#This Row],[Weather sit]]=4,"4 Heavy Snow/Rain")</f>
        <v>3 Light Snow/Rain</v>
      </c>
      <c r="J93" s="7">
        <v>0.2</v>
      </c>
      <c r="K93" s="7">
        <v>0.19700000000000001</v>
      </c>
      <c r="L93" s="7">
        <v>0.93</v>
      </c>
      <c r="M93" s="7">
        <v>0.19400000000000001</v>
      </c>
      <c r="N93" s="1">
        <v>1</v>
      </c>
      <c r="O93" s="1">
        <v>15</v>
      </c>
      <c r="P93" s="1">
        <v>16</v>
      </c>
      <c r="Q93" s="1" t="str" cm="1">
        <f t="array" ref="Q93">_xlfn.IFS(dataset3[[#This Row],[Windspeed]]&lt;=0.1,"0.00 -0.10",dataset3[[#This Row],[Windspeed]]&lt;=0.2,"0.10-0.20",dataset3[[#This Row],[Windspeed]]&lt;=0.3,"0.20-0.30",dataset3[[#This Row],[Windspeed]]&lt;=0.4,"0.30-0.40",dataset3[[#This Row],[Windspeed]]&lt;=0.5,"0.40-0.50",dataset3[[#This Row],[Windspeed]]&lt;=0.6,"0.50-0.60")</f>
        <v>0.10-0.20</v>
      </c>
      <c r="R93" s="1" t="str" cm="1">
        <f t="array" ref="R9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94" spans="1:18" x14ac:dyDescent="0.25">
      <c r="A94" s="1">
        <v>712</v>
      </c>
      <c r="B94" s="3">
        <v>40576</v>
      </c>
      <c r="C94" s="1">
        <v>1</v>
      </c>
      <c r="D94" s="1">
        <v>0</v>
      </c>
      <c r="E94" s="1" t="s">
        <v>27</v>
      </c>
      <c r="F94" s="1">
        <v>3</v>
      </c>
      <c r="G94" s="1">
        <v>3</v>
      </c>
      <c r="H94" s="1" t="str">
        <f t="shared" si="1"/>
        <v>Wednesday</v>
      </c>
      <c r="I94" s="1" t="str" cm="1">
        <f t="array" ref="I94">_xlfn.IFS(dataset3[[#This Row],[Weather sit]]=1,"1 Clear",dataset3[[#This Row],[Weather sit]]=2,"2 Misty/Cloudy",dataset3[[#This Row],[Weather sit]]=3,"3 Light Snow/Rain",dataset3[[#This Row],[Weather sit]]=4,"4 Heavy Snow/Rain")</f>
        <v>3 Light Snow/Rain</v>
      </c>
      <c r="J94" s="7">
        <v>0.22</v>
      </c>
      <c r="K94" s="7">
        <v>0.2424</v>
      </c>
      <c r="L94" s="7">
        <v>0.93</v>
      </c>
      <c r="M94" s="7">
        <v>0.1045</v>
      </c>
      <c r="N94" s="1">
        <v>0</v>
      </c>
      <c r="O94" s="1">
        <v>2</v>
      </c>
      <c r="P94" s="1">
        <v>2</v>
      </c>
      <c r="Q94" s="1" t="str" cm="1">
        <f t="array" ref="Q94">_xlfn.IFS(dataset3[[#This Row],[Windspeed]]&lt;=0.1,"0.00 -0.10",dataset3[[#This Row],[Windspeed]]&lt;=0.2,"0.10-0.20",dataset3[[#This Row],[Windspeed]]&lt;=0.3,"0.20-0.30",dataset3[[#This Row],[Windspeed]]&lt;=0.4,"0.30-0.40",dataset3[[#This Row],[Windspeed]]&lt;=0.5,"0.40-0.50",dataset3[[#This Row],[Windspeed]]&lt;=0.6,"0.50-0.60")</f>
        <v>0.10-0.20</v>
      </c>
      <c r="R94" s="1" t="str" cm="1">
        <f t="array" ref="R9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95" spans="1:18" x14ac:dyDescent="0.25">
      <c r="A95" s="1">
        <v>713</v>
      </c>
      <c r="B95" s="3">
        <v>40576</v>
      </c>
      <c r="C95" s="1">
        <v>1</v>
      </c>
      <c r="D95" s="1">
        <v>1</v>
      </c>
      <c r="E95" s="1" t="s">
        <v>27</v>
      </c>
      <c r="F95" s="1">
        <v>3</v>
      </c>
      <c r="G95" s="1">
        <v>3</v>
      </c>
      <c r="H95" s="1" t="str">
        <f t="shared" si="1"/>
        <v>Wednesday</v>
      </c>
      <c r="I95" s="1" t="str" cm="1">
        <f t="array" ref="I95">_xlfn.IFS(dataset3[[#This Row],[Weather sit]]=1,"1 Clear",dataset3[[#This Row],[Weather sit]]=2,"2 Misty/Cloudy",dataset3[[#This Row],[Weather sit]]=3,"3 Light Snow/Rain",dataset3[[#This Row],[Weather sit]]=4,"4 Heavy Snow/Rain")</f>
        <v>3 Light Snow/Rain</v>
      </c>
      <c r="J95" s="7">
        <v>0.22</v>
      </c>
      <c r="K95" s="7">
        <v>0.2273</v>
      </c>
      <c r="L95" s="7">
        <v>0.93</v>
      </c>
      <c r="M95" s="7">
        <v>0.19400000000000001</v>
      </c>
      <c r="N95" s="1">
        <v>0</v>
      </c>
      <c r="O95" s="1">
        <v>3</v>
      </c>
      <c r="P95" s="1">
        <v>3</v>
      </c>
      <c r="Q95" s="1" t="str" cm="1">
        <f t="array" ref="Q95">_xlfn.IFS(dataset3[[#This Row],[Windspeed]]&lt;=0.1,"0.00 -0.10",dataset3[[#This Row],[Windspeed]]&lt;=0.2,"0.10-0.20",dataset3[[#This Row],[Windspeed]]&lt;=0.3,"0.20-0.30",dataset3[[#This Row],[Windspeed]]&lt;=0.4,"0.30-0.40",dataset3[[#This Row],[Windspeed]]&lt;=0.5,"0.40-0.50",dataset3[[#This Row],[Windspeed]]&lt;=0.6,"0.50-0.60")</f>
        <v>0.10-0.20</v>
      </c>
      <c r="R95" s="1" t="str" cm="1">
        <f t="array" ref="R9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96" spans="1:18" x14ac:dyDescent="0.25">
      <c r="A96" s="1">
        <v>714</v>
      </c>
      <c r="B96" s="3">
        <v>40576</v>
      </c>
      <c r="C96" s="1">
        <v>1</v>
      </c>
      <c r="D96" s="1">
        <v>2</v>
      </c>
      <c r="E96" s="1" t="s">
        <v>27</v>
      </c>
      <c r="F96" s="1">
        <v>3</v>
      </c>
      <c r="G96" s="1">
        <v>3</v>
      </c>
      <c r="H96" s="1" t="str">
        <f t="shared" si="1"/>
        <v>Wednesday</v>
      </c>
      <c r="I96" s="1" t="str" cm="1">
        <f t="array" ref="I96">_xlfn.IFS(dataset3[[#This Row],[Weather sit]]=1,"1 Clear",dataset3[[#This Row],[Weather sit]]=2,"2 Misty/Cloudy",dataset3[[#This Row],[Weather sit]]=3,"3 Light Snow/Rain",dataset3[[#This Row],[Weather sit]]=4,"4 Heavy Snow/Rain")</f>
        <v>3 Light Snow/Rain</v>
      </c>
      <c r="J96" s="7">
        <v>0.22</v>
      </c>
      <c r="K96" s="7">
        <v>0.2273</v>
      </c>
      <c r="L96" s="7">
        <v>0.93</v>
      </c>
      <c r="M96" s="7">
        <v>0.1343</v>
      </c>
      <c r="N96" s="1">
        <v>4</v>
      </c>
      <c r="O96" s="1">
        <v>0</v>
      </c>
      <c r="P96" s="1">
        <v>4</v>
      </c>
      <c r="Q96" s="1" t="str" cm="1">
        <f t="array" ref="Q96">_xlfn.IFS(dataset3[[#This Row],[Windspeed]]&lt;=0.1,"0.00 -0.10",dataset3[[#This Row],[Windspeed]]&lt;=0.2,"0.10-0.20",dataset3[[#This Row],[Windspeed]]&lt;=0.3,"0.20-0.30",dataset3[[#This Row],[Windspeed]]&lt;=0.4,"0.30-0.40",dataset3[[#This Row],[Windspeed]]&lt;=0.5,"0.40-0.50",dataset3[[#This Row],[Windspeed]]&lt;=0.6,"0.50-0.60")</f>
        <v>0.10-0.20</v>
      </c>
      <c r="R96" s="1" t="str" cm="1">
        <f t="array" ref="R9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97" spans="1:18" x14ac:dyDescent="0.25">
      <c r="A97" s="1">
        <v>715</v>
      </c>
      <c r="B97" s="3">
        <v>40576</v>
      </c>
      <c r="C97" s="1">
        <v>1</v>
      </c>
      <c r="D97" s="1">
        <v>3</v>
      </c>
      <c r="E97" s="1" t="s">
        <v>27</v>
      </c>
      <c r="F97" s="1">
        <v>3</v>
      </c>
      <c r="G97" s="1">
        <v>3</v>
      </c>
      <c r="H97" s="1" t="str">
        <f t="shared" si="1"/>
        <v>Wednesday</v>
      </c>
      <c r="I97" s="1" t="str" cm="1">
        <f t="array" ref="I97">_xlfn.IFS(dataset3[[#This Row],[Weather sit]]=1,"1 Clear",dataset3[[#This Row],[Weather sit]]=2,"2 Misty/Cloudy",dataset3[[#This Row],[Weather sit]]=3,"3 Light Snow/Rain",dataset3[[#This Row],[Weather sit]]=4,"4 Heavy Snow/Rain")</f>
        <v>3 Light Snow/Rain</v>
      </c>
      <c r="J97" s="7">
        <v>0.22</v>
      </c>
      <c r="K97" s="7">
        <v>0.2273</v>
      </c>
      <c r="L97" s="7">
        <v>0.93</v>
      </c>
      <c r="M97" s="7">
        <v>0.1343</v>
      </c>
      <c r="N97" s="1">
        <v>0</v>
      </c>
      <c r="O97" s="1">
        <v>1</v>
      </c>
      <c r="P97" s="1">
        <v>1</v>
      </c>
      <c r="Q97" s="1" t="str" cm="1">
        <f t="array" ref="Q97">_xlfn.IFS(dataset3[[#This Row],[Windspeed]]&lt;=0.1,"0.00 -0.10",dataset3[[#This Row],[Windspeed]]&lt;=0.2,"0.10-0.20",dataset3[[#This Row],[Windspeed]]&lt;=0.3,"0.20-0.30",dataset3[[#This Row],[Windspeed]]&lt;=0.4,"0.30-0.40",dataset3[[#This Row],[Windspeed]]&lt;=0.5,"0.40-0.50",dataset3[[#This Row],[Windspeed]]&lt;=0.6,"0.50-0.60")</f>
        <v>0.10-0.20</v>
      </c>
      <c r="R97" s="1" t="str" cm="1">
        <f t="array" ref="R9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98" spans="1:18" x14ac:dyDescent="0.25">
      <c r="A98" s="1">
        <v>716</v>
      </c>
      <c r="B98" s="3">
        <v>40576</v>
      </c>
      <c r="C98" s="1">
        <v>1</v>
      </c>
      <c r="D98" s="1">
        <v>4</v>
      </c>
      <c r="E98" s="1" t="s">
        <v>27</v>
      </c>
      <c r="F98" s="1">
        <v>3</v>
      </c>
      <c r="G98" s="1">
        <v>3</v>
      </c>
      <c r="H98" s="1" t="str">
        <f t="shared" si="1"/>
        <v>Wednesday</v>
      </c>
      <c r="I98" s="1" t="str" cm="1">
        <f t="array" ref="I98">_xlfn.IFS(dataset3[[#This Row],[Weather sit]]=1,"1 Clear",dataset3[[#This Row],[Weather sit]]=2,"2 Misty/Cloudy",dataset3[[#This Row],[Weather sit]]=3,"3 Light Snow/Rain",dataset3[[#This Row],[Weather sit]]=4,"4 Heavy Snow/Rain")</f>
        <v>3 Light Snow/Rain</v>
      </c>
      <c r="J98" s="7">
        <v>0.22</v>
      </c>
      <c r="K98" s="7">
        <v>0.21210000000000001</v>
      </c>
      <c r="L98" s="7">
        <v>0.93</v>
      </c>
      <c r="M98" s="7">
        <v>0.28360000000000002</v>
      </c>
      <c r="N98" s="1">
        <v>0</v>
      </c>
      <c r="O98" s="1">
        <v>1</v>
      </c>
      <c r="P98" s="1">
        <v>1</v>
      </c>
      <c r="Q98" s="1" t="str" cm="1">
        <f t="array" ref="Q98">_xlfn.IFS(dataset3[[#This Row],[Windspeed]]&lt;=0.1,"0.00 -0.10",dataset3[[#This Row],[Windspeed]]&lt;=0.2,"0.10-0.20",dataset3[[#This Row],[Windspeed]]&lt;=0.3,"0.20-0.30",dataset3[[#This Row],[Windspeed]]&lt;=0.4,"0.30-0.40",dataset3[[#This Row],[Windspeed]]&lt;=0.5,"0.40-0.50",dataset3[[#This Row],[Windspeed]]&lt;=0.6,"0.50-0.60")</f>
        <v>0.20-0.30</v>
      </c>
      <c r="R98" s="1" t="str" cm="1">
        <f t="array" ref="R9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99" spans="1:18" x14ac:dyDescent="0.25">
      <c r="A99" s="1">
        <v>717</v>
      </c>
      <c r="B99" s="3">
        <v>40576</v>
      </c>
      <c r="C99" s="1">
        <v>1</v>
      </c>
      <c r="D99" s="1">
        <v>5</v>
      </c>
      <c r="E99" s="1" t="s">
        <v>27</v>
      </c>
      <c r="F99" s="1">
        <v>3</v>
      </c>
      <c r="G99" s="1">
        <v>3</v>
      </c>
      <c r="H99" s="1" t="str">
        <f t="shared" si="1"/>
        <v>Wednesday</v>
      </c>
      <c r="I99" s="1" t="str" cm="1">
        <f t="array" ref="I99">_xlfn.IFS(dataset3[[#This Row],[Weather sit]]=1,"1 Clear",dataset3[[#This Row],[Weather sit]]=2,"2 Misty/Cloudy",dataset3[[#This Row],[Weather sit]]=3,"3 Light Snow/Rain",dataset3[[#This Row],[Weather sit]]=4,"4 Heavy Snow/Rain")</f>
        <v>3 Light Snow/Rain</v>
      </c>
      <c r="J99" s="7">
        <v>0.22</v>
      </c>
      <c r="K99" s="7">
        <v>0.2424</v>
      </c>
      <c r="L99" s="7">
        <v>0.93</v>
      </c>
      <c r="M99" s="7">
        <v>0.1045</v>
      </c>
      <c r="N99" s="1">
        <v>0</v>
      </c>
      <c r="O99" s="1">
        <v>3</v>
      </c>
      <c r="P99" s="1">
        <v>3</v>
      </c>
      <c r="Q99" s="1" t="str" cm="1">
        <f t="array" ref="Q99">_xlfn.IFS(dataset3[[#This Row],[Windspeed]]&lt;=0.1,"0.00 -0.10",dataset3[[#This Row],[Windspeed]]&lt;=0.2,"0.10-0.20",dataset3[[#This Row],[Windspeed]]&lt;=0.3,"0.20-0.30",dataset3[[#This Row],[Windspeed]]&lt;=0.4,"0.30-0.40",dataset3[[#This Row],[Windspeed]]&lt;=0.5,"0.40-0.50",dataset3[[#This Row],[Windspeed]]&lt;=0.6,"0.50-0.60")</f>
        <v>0.10-0.20</v>
      </c>
      <c r="R99" s="1" t="str" cm="1">
        <f t="array" ref="R9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00" spans="1:18" x14ac:dyDescent="0.25">
      <c r="A100" s="1">
        <v>718</v>
      </c>
      <c r="B100" s="3">
        <v>40576</v>
      </c>
      <c r="C100" s="1">
        <v>1</v>
      </c>
      <c r="D100" s="1">
        <v>6</v>
      </c>
      <c r="E100" s="1" t="s">
        <v>27</v>
      </c>
      <c r="F100" s="1">
        <v>3</v>
      </c>
      <c r="G100" s="1">
        <v>3</v>
      </c>
      <c r="H100" s="1" t="str">
        <f t="shared" si="1"/>
        <v>Wednesday</v>
      </c>
      <c r="I100" s="1" t="str" cm="1">
        <f t="array" ref="I100">_xlfn.IFS(dataset3[[#This Row],[Weather sit]]=1,"1 Clear",dataset3[[#This Row],[Weather sit]]=2,"2 Misty/Cloudy",dataset3[[#This Row],[Weather sit]]=3,"3 Light Snow/Rain",dataset3[[#This Row],[Weather sit]]=4,"4 Heavy Snow/Rain")</f>
        <v>3 Light Snow/Rain</v>
      </c>
      <c r="J100" s="7">
        <v>0.22</v>
      </c>
      <c r="K100" s="7">
        <v>0.2424</v>
      </c>
      <c r="L100" s="7">
        <v>0.93</v>
      </c>
      <c r="M100" s="7">
        <v>0.1045</v>
      </c>
      <c r="N100" s="1">
        <v>1</v>
      </c>
      <c r="O100" s="1">
        <v>17</v>
      </c>
      <c r="P100" s="1">
        <v>18</v>
      </c>
      <c r="Q100" s="1" t="str" cm="1">
        <f t="array" ref="Q100">_xlfn.IFS(dataset3[[#This Row],[Windspeed]]&lt;=0.1,"0.00 -0.10",dataset3[[#This Row],[Windspeed]]&lt;=0.2,"0.10-0.20",dataset3[[#This Row],[Windspeed]]&lt;=0.3,"0.20-0.30",dataset3[[#This Row],[Windspeed]]&lt;=0.4,"0.30-0.40",dataset3[[#This Row],[Windspeed]]&lt;=0.5,"0.40-0.50",dataset3[[#This Row],[Windspeed]]&lt;=0.6,"0.50-0.60")</f>
        <v>0.10-0.20</v>
      </c>
      <c r="R100" s="1" t="str" cm="1">
        <f t="array" ref="R10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01" spans="1:18" x14ac:dyDescent="0.25">
      <c r="A101" s="1">
        <v>719</v>
      </c>
      <c r="B101" s="3">
        <v>40576</v>
      </c>
      <c r="C101" s="1">
        <v>1</v>
      </c>
      <c r="D101" s="1">
        <v>7</v>
      </c>
      <c r="E101" s="1" t="s">
        <v>27</v>
      </c>
      <c r="F101" s="1">
        <v>3</v>
      </c>
      <c r="G101" s="1">
        <v>3</v>
      </c>
      <c r="H101" s="1" t="str">
        <f t="shared" si="1"/>
        <v>Wednesday</v>
      </c>
      <c r="I101" s="1" t="str" cm="1">
        <f t="array" ref="I101">_xlfn.IFS(dataset3[[#This Row],[Weather sit]]=1,"1 Clear",dataset3[[#This Row],[Weather sit]]=2,"2 Misty/Cloudy",dataset3[[#This Row],[Weather sit]]=3,"3 Light Snow/Rain",dataset3[[#This Row],[Weather sit]]=4,"4 Heavy Snow/Rain")</f>
        <v>3 Light Snow/Rain</v>
      </c>
      <c r="J101" s="7">
        <v>0.22</v>
      </c>
      <c r="K101" s="7">
        <v>0.21210000000000001</v>
      </c>
      <c r="L101" s="7">
        <v>0.93</v>
      </c>
      <c r="M101" s="7">
        <v>0.22389999999999999</v>
      </c>
      <c r="N101" s="1">
        <v>1</v>
      </c>
      <c r="O101" s="1">
        <v>48</v>
      </c>
      <c r="P101" s="1">
        <v>49</v>
      </c>
      <c r="Q101" s="1" t="str" cm="1">
        <f t="array" ref="Q101">_xlfn.IFS(dataset3[[#This Row],[Windspeed]]&lt;=0.1,"0.00 -0.10",dataset3[[#This Row],[Windspeed]]&lt;=0.2,"0.10-0.20",dataset3[[#This Row],[Windspeed]]&lt;=0.3,"0.20-0.30",dataset3[[#This Row],[Windspeed]]&lt;=0.4,"0.30-0.40",dataset3[[#This Row],[Windspeed]]&lt;=0.5,"0.40-0.50",dataset3[[#This Row],[Windspeed]]&lt;=0.6,"0.50-0.60")</f>
        <v>0.20-0.30</v>
      </c>
      <c r="R101" s="1" t="str" cm="1">
        <f t="array" ref="R10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02" spans="1:18" x14ac:dyDescent="0.25">
      <c r="A102" s="1">
        <v>720</v>
      </c>
      <c r="B102" s="3">
        <v>40576</v>
      </c>
      <c r="C102" s="1">
        <v>1</v>
      </c>
      <c r="D102" s="1">
        <v>8</v>
      </c>
      <c r="E102" s="1" t="s">
        <v>27</v>
      </c>
      <c r="F102" s="1">
        <v>3</v>
      </c>
      <c r="G102" s="1">
        <v>3</v>
      </c>
      <c r="H102" s="1" t="str">
        <f t="shared" si="1"/>
        <v>Wednesday</v>
      </c>
      <c r="I102" s="1" t="str" cm="1">
        <f t="array" ref="I102">_xlfn.IFS(dataset3[[#This Row],[Weather sit]]=1,"1 Clear",dataset3[[#This Row],[Weather sit]]=2,"2 Misty/Cloudy",dataset3[[#This Row],[Weather sit]]=3,"3 Light Snow/Rain",dataset3[[#This Row],[Weather sit]]=4,"4 Heavy Snow/Rain")</f>
        <v>3 Light Snow/Rain</v>
      </c>
      <c r="J102" s="7">
        <v>0.22</v>
      </c>
      <c r="K102" s="7">
        <v>0.21210000000000001</v>
      </c>
      <c r="L102" s="7">
        <v>0.93</v>
      </c>
      <c r="M102" s="7">
        <v>0.22389999999999999</v>
      </c>
      <c r="N102" s="1">
        <v>1</v>
      </c>
      <c r="O102" s="1">
        <v>154</v>
      </c>
      <c r="P102" s="1">
        <v>155</v>
      </c>
      <c r="Q102" s="1" t="str" cm="1">
        <f t="array" ref="Q102">_xlfn.IFS(dataset3[[#This Row],[Windspeed]]&lt;=0.1,"0.00 -0.10",dataset3[[#This Row],[Windspeed]]&lt;=0.2,"0.10-0.20",dataset3[[#This Row],[Windspeed]]&lt;=0.3,"0.20-0.30",dataset3[[#This Row],[Windspeed]]&lt;=0.4,"0.30-0.40",dataset3[[#This Row],[Windspeed]]&lt;=0.5,"0.40-0.50",dataset3[[#This Row],[Windspeed]]&lt;=0.6,"0.50-0.60")</f>
        <v>0.20-0.30</v>
      </c>
      <c r="R102" s="1" t="str" cm="1">
        <f t="array" ref="R10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03" spans="1:18" x14ac:dyDescent="0.25">
      <c r="A103" s="1">
        <v>721</v>
      </c>
      <c r="B103" s="3">
        <v>40576</v>
      </c>
      <c r="C103" s="1">
        <v>1</v>
      </c>
      <c r="D103" s="1">
        <v>9</v>
      </c>
      <c r="E103" s="1" t="s">
        <v>27</v>
      </c>
      <c r="F103" s="1">
        <v>3</v>
      </c>
      <c r="G103" s="1">
        <v>2</v>
      </c>
      <c r="H103" s="1" t="str">
        <f t="shared" si="1"/>
        <v>Wednesday</v>
      </c>
      <c r="I103" s="1" t="str" cm="1">
        <f t="array" ref="I103">_xlfn.IFS(dataset3[[#This Row],[Weather sit]]=1,"1 Clear",dataset3[[#This Row],[Weather sit]]=2,"2 Misty/Cloudy",dataset3[[#This Row],[Weather sit]]=3,"3 Light Snow/Rain",dataset3[[#This Row],[Weather sit]]=4,"4 Heavy Snow/Rain")</f>
        <v>2 Misty/Cloudy</v>
      </c>
      <c r="J103" s="7">
        <v>0.24</v>
      </c>
      <c r="K103" s="7">
        <v>0.2576</v>
      </c>
      <c r="L103" s="7">
        <v>0.93</v>
      </c>
      <c r="M103" s="7">
        <v>8.9599999999999999E-2</v>
      </c>
      <c r="N103" s="1">
        <v>4</v>
      </c>
      <c r="O103" s="1">
        <v>119</v>
      </c>
      <c r="P103" s="1">
        <v>123</v>
      </c>
      <c r="Q103" s="1" t="str" cm="1">
        <f t="array" ref="Q103">_xlfn.IFS(dataset3[[#This Row],[Windspeed]]&lt;=0.1,"0.00 -0.10",dataset3[[#This Row],[Windspeed]]&lt;=0.2,"0.10-0.20",dataset3[[#This Row],[Windspeed]]&lt;=0.3,"0.20-0.30",dataset3[[#This Row],[Windspeed]]&lt;=0.4,"0.30-0.40",dataset3[[#This Row],[Windspeed]]&lt;=0.5,"0.40-0.50",dataset3[[#This Row],[Windspeed]]&lt;=0.6,"0.50-0.60")</f>
        <v>0.00 -0.10</v>
      </c>
      <c r="R103" s="1" t="str" cm="1">
        <f t="array" ref="R10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04" spans="1:18" x14ac:dyDescent="0.25">
      <c r="A104" s="1">
        <v>722</v>
      </c>
      <c r="B104" s="3">
        <v>40576</v>
      </c>
      <c r="C104" s="1">
        <v>1</v>
      </c>
      <c r="D104" s="1">
        <v>10</v>
      </c>
      <c r="E104" s="1" t="s">
        <v>27</v>
      </c>
      <c r="F104" s="1">
        <v>3</v>
      </c>
      <c r="G104" s="1">
        <v>2</v>
      </c>
      <c r="H104" s="1" t="str">
        <f t="shared" si="1"/>
        <v>Wednesday</v>
      </c>
      <c r="I104" s="1" t="str" cm="1">
        <f t="array" ref="I104">_xlfn.IFS(dataset3[[#This Row],[Weather sit]]=1,"1 Clear",dataset3[[#This Row],[Weather sit]]=2,"2 Misty/Cloudy",dataset3[[#This Row],[Weather sit]]=3,"3 Light Snow/Rain",dataset3[[#This Row],[Weather sit]]=4,"4 Heavy Snow/Rain")</f>
        <v>2 Misty/Cloudy</v>
      </c>
      <c r="J104" s="7">
        <v>0.22</v>
      </c>
      <c r="K104" s="7">
        <v>0.2727</v>
      </c>
      <c r="L104" s="7">
        <v>1</v>
      </c>
      <c r="M104" s="7">
        <v>0</v>
      </c>
      <c r="N104" s="1">
        <v>2</v>
      </c>
      <c r="O104" s="1">
        <v>59</v>
      </c>
      <c r="P104" s="1">
        <v>61</v>
      </c>
      <c r="Q104" s="1" t="str" cm="1">
        <f t="array" ref="Q104">_xlfn.IFS(dataset3[[#This Row],[Windspeed]]&lt;=0.1,"0.00 -0.10",dataset3[[#This Row],[Windspeed]]&lt;=0.2,"0.10-0.20",dataset3[[#This Row],[Windspeed]]&lt;=0.3,"0.20-0.30",dataset3[[#This Row],[Windspeed]]&lt;=0.4,"0.30-0.40",dataset3[[#This Row],[Windspeed]]&lt;=0.5,"0.40-0.50",dataset3[[#This Row],[Windspeed]]&lt;=0.6,"0.50-0.60")</f>
        <v>0.00 -0.10</v>
      </c>
      <c r="R104" s="1" t="str" cm="1">
        <f t="array" ref="R10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05" spans="1:18" x14ac:dyDescent="0.25">
      <c r="A105" s="1">
        <v>723</v>
      </c>
      <c r="B105" s="3">
        <v>40576</v>
      </c>
      <c r="C105" s="1">
        <v>1</v>
      </c>
      <c r="D105" s="1">
        <v>11</v>
      </c>
      <c r="E105" s="1" t="s">
        <v>27</v>
      </c>
      <c r="F105" s="1">
        <v>3</v>
      </c>
      <c r="G105" s="1">
        <v>2</v>
      </c>
      <c r="H105" s="1" t="str">
        <f t="shared" si="1"/>
        <v>Wednesday</v>
      </c>
      <c r="I105" s="1" t="str" cm="1">
        <f t="array" ref="I105">_xlfn.IFS(dataset3[[#This Row],[Weather sit]]=1,"1 Clear",dataset3[[#This Row],[Weather sit]]=2,"2 Misty/Cloudy",dataset3[[#This Row],[Weather sit]]=3,"3 Light Snow/Rain",dataset3[[#This Row],[Weather sit]]=4,"4 Heavy Snow/Rain")</f>
        <v>2 Misty/Cloudy</v>
      </c>
      <c r="J105" s="7">
        <v>0.24</v>
      </c>
      <c r="K105" s="7">
        <v>0.2273</v>
      </c>
      <c r="L105" s="7">
        <v>0.93</v>
      </c>
      <c r="M105" s="7">
        <v>0.19400000000000001</v>
      </c>
      <c r="N105" s="1">
        <v>5</v>
      </c>
      <c r="O105" s="1">
        <v>47</v>
      </c>
      <c r="P105" s="1">
        <v>52</v>
      </c>
      <c r="Q105" s="1" t="str" cm="1">
        <f t="array" ref="Q105">_xlfn.IFS(dataset3[[#This Row],[Windspeed]]&lt;=0.1,"0.00 -0.10",dataset3[[#This Row],[Windspeed]]&lt;=0.2,"0.10-0.20",dataset3[[#This Row],[Windspeed]]&lt;=0.3,"0.20-0.30",dataset3[[#This Row],[Windspeed]]&lt;=0.4,"0.30-0.40",dataset3[[#This Row],[Windspeed]]&lt;=0.5,"0.40-0.50",dataset3[[#This Row],[Windspeed]]&lt;=0.6,"0.50-0.60")</f>
        <v>0.10-0.20</v>
      </c>
      <c r="R105" s="1" t="str" cm="1">
        <f t="array" ref="R10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06" spans="1:18" x14ac:dyDescent="0.25">
      <c r="A106" s="1">
        <v>724</v>
      </c>
      <c r="B106" s="3">
        <v>40576</v>
      </c>
      <c r="C106" s="1">
        <v>1</v>
      </c>
      <c r="D106" s="1">
        <v>12</v>
      </c>
      <c r="E106" s="1" t="s">
        <v>27</v>
      </c>
      <c r="F106" s="1">
        <v>3</v>
      </c>
      <c r="G106" s="1">
        <v>2</v>
      </c>
      <c r="H106" s="1" t="str">
        <f t="shared" si="1"/>
        <v>Wednesday</v>
      </c>
      <c r="I106" s="1" t="str" cm="1">
        <f t="array" ref="I106">_xlfn.IFS(dataset3[[#This Row],[Weather sit]]=1,"1 Clear",dataset3[[#This Row],[Weather sit]]=2,"2 Misty/Cloudy",dataset3[[#This Row],[Weather sit]]=3,"3 Light Snow/Rain",dataset3[[#This Row],[Weather sit]]=4,"4 Heavy Snow/Rain")</f>
        <v>2 Misty/Cloudy</v>
      </c>
      <c r="J106" s="7">
        <v>0.24</v>
      </c>
      <c r="K106" s="7">
        <v>0.2273</v>
      </c>
      <c r="L106" s="7">
        <v>0.93</v>
      </c>
      <c r="M106" s="7">
        <v>0.22389999999999999</v>
      </c>
      <c r="N106" s="1">
        <v>3</v>
      </c>
      <c r="O106" s="1">
        <v>61</v>
      </c>
      <c r="P106" s="1">
        <v>64</v>
      </c>
      <c r="Q106" s="1" t="str" cm="1">
        <f t="array" ref="Q106">_xlfn.IFS(dataset3[[#This Row],[Windspeed]]&lt;=0.1,"0.00 -0.10",dataset3[[#This Row],[Windspeed]]&lt;=0.2,"0.10-0.20",dataset3[[#This Row],[Windspeed]]&lt;=0.3,"0.20-0.30",dataset3[[#This Row],[Windspeed]]&lt;=0.4,"0.30-0.40",dataset3[[#This Row],[Windspeed]]&lt;=0.5,"0.40-0.50",dataset3[[#This Row],[Windspeed]]&lt;=0.6,"0.50-0.60")</f>
        <v>0.20-0.30</v>
      </c>
      <c r="R106" s="1" t="str" cm="1">
        <f t="array" ref="R10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07" spans="1:18" x14ac:dyDescent="0.25">
      <c r="A107" s="1">
        <v>725</v>
      </c>
      <c r="B107" s="3">
        <v>40576</v>
      </c>
      <c r="C107" s="1">
        <v>1</v>
      </c>
      <c r="D107" s="1">
        <v>13</v>
      </c>
      <c r="E107" s="1" t="s">
        <v>27</v>
      </c>
      <c r="F107" s="1">
        <v>3</v>
      </c>
      <c r="G107" s="1">
        <v>1</v>
      </c>
      <c r="H107" s="1" t="str">
        <f t="shared" si="1"/>
        <v>Wednesday</v>
      </c>
      <c r="I107" s="1" t="str" cm="1">
        <f t="array" ref="I107">_xlfn.IFS(dataset3[[#This Row],[Weather sit]]=1,"1 Clear",dataset3[[#This Row],[Weather sit]]=2,"2 Misty/Cloudy",dataset3[[#This Row],[Weather sit]]=3,"3 Light Snow/Rain",dataset3[[#This Row],[Weather sit]]=4,"4 Heavy Snow/Rain")</f>
        <v>1 Clear</v>
      </c>
      <c r="J107" s="7">
        <v>0.34</v>
      </c>
      <c r="K107" s="7">
        <v>0.33329999999999999</v>
      </c>
      <c r="L107" s="7">
        <v>0.93</v>
      </c>
      <c r="M107" s="7">
        <v>0.16420000000000001</v>
      </c>
      <c r="N107" s="1">
        <v>1</v>
      </c>
      <c r="O107" s="1">
        <v>74</v>
      </c>
      <c r="P107" s="1">
        <v>75</v>
      </c>
      <c r="Q107" s="1" t="str" cm="1">
        <f t="array" ref="Q107">_xlfn.IFS(dataset3[[#This Row],[Windspeed]]&lt;=0.1,"0.00 -0.10",dataset3[[#This Row],[Windspeed]]&lt;=0.2,"0.10-0.20",dataset3[[#This Row],[Windspeed]]&lt;=0.3,"0.20-0.30",dataset3[[#This Row],[Windspeed]]&lt;=0.4,"0.30-0.40",dataset3[[#This Row],[Windspeed]]&lt;=0.5,"0.40-0.50",dataset3[[#This Row],[Windspeed]]&lt;=0.6,"0.50-0.60")</f>
        <v>0.10-0.20</v>
      </c>
      <c r="R107" s="1" t="str" cm="1">
        <f t="array" ref="R10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08" spans="1:18" x14ac:dyDescent="0.25">
      <c r="A108" s="1">
        <v>726</v>
      </c>
      <c r="B108" s="3">
        <v>40576</v>
      </c>
      <c r="C108" s="1">
        <v>1</v>
      </c>
      <c r="D108" s="1">
        <v>14</v>
      </c>
      <c r="E108" s="1" t="s">
        <v>27</v>
      </c>
      <c r="F108" s="1">
        <v>3</v>
      </c>
      <c r="G108" s="1">
        <v>1</v>
      </c>
      <c r="H108" s="1" t="str">
        <f t="shared" si="1"/>
        <v>Wednesday</v>
      </c>
      <c r="I108" s="1" t="str" cm="1">
        <f t="array" ref="I108">_xlfn.IFS(dataset3[[#This Row],[Weather sit]]=1,"1 Clear",dataset3[[#This Row],[Weather sit]]=2,"2 Misty/Cloudy",dataset3[[#This Row],[Weather sit]]=3,"3 Light Snow/Rain",dataset3[[#This Row],[Weather sit]]=4,"4 Heavy Snow/Rain")</f>
        <v>1 Clear</v>
      </c>
      <c r="J108" s="7">
        <v>0.38</v>
      </c>
      <c r="K108" s="7">
        <v>0.39389999999999997</v>
      </c>
      <c r="L108" s="7">
        <v>0.82</v>
      </c>
      <c r="M108" s="7">
        <v>0.3881</v>
      </c>
      <c r="N108" s="1">
        <v>2</v>
      </c>
      <c r="O108" s="1">
        <v>61</v>
      </c>
      <c r="P108" s="1">
        <v>63</v>
      </c>
      <c r="Q108" s="1" t="str" cm="1">
        <f t="array" ref="Q108">_xlfn.IFS(dataset3[[#This Row],[Windspeed]]&lt;=0.1,"0.00 -0.10",dataset3[[#This Row],[Windspeed]]&lt;=0.2,"0.10-0.20",dataset3[[#This Row],[Windspeed]]&lt;=0.3,"0.20-0.30",dataset3[[#This Row],[Windspeed]]&lt;=0.4,"0.30-0.40",dataset3[[#This Row],[Windspeed]]&lt;=0.5,"0.40-0.50",dataset3[[#This Row],[Windspeed]]&lt;=0.6,"0.50-0.60")</f>
        <v>0.30-0.40</v>
      </c>
      <c r="R108" s="1" t="str" cm="1">
        <f t="array" ref="R10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109" spans="1:18" x14ac:dyDescent="0.25">
      <c r="A109" s="1">
        <v>727</v>
      </c>
      <c r="B109" s="3">
        <v>40576</v>
      </c>
      <c r="C109" s="1">
        <v>1</v>
      </c>
      <c r="D109" s="1">
        <v>15</v>
      </c>
      <c r="E109" s="1" t="s">
        <v>27</v>
      </c>
      <c r="F109" s="1">
        <v>3</v>
      </c>
      <c r="G109" s="1">
        <v>1</v>
      </c>
      <c r="H109" s="1" t="str">
        <f t="shared" si="1"/>
        <v>Wednesday</v>
      </c>
      <c r="I109" s="1" t="str" cm="1">
        <f t="array" ref="I109">_xlfn.IFS(dataset3[[#This Row],[Weather sit]]=1,"1 Clear",dataset3[[#This Row],[Weather sit]]=2,"2 Misty/Cloudy",dataset3[[#This Row],[Weather sit]]=3,"3 Light Snow/Rain",dataset3[[#This Row],[Weather sit]]=4,"4 Heavy Snow/Rain")</f>
        <v>1 Clear</v>
      </c>
      <c r="J109" s="7">
        <v>0.38</v>
      </c>
      <c r="K109" s="7">
        <v>0.39389999999999997</v>
      </c>
      <c r="L109" s="7">
        <v>0.76</v>
      </c>
      <c r="M109" s="7">
        <v>0.32840000000000003</v>
      </c>
      <c r="N109" s="1">
        <v>10</v>
      </c>
      <c r="O109" s="1">
        <v>66</v>
      </c>
      <c r="P109" s="1">
        <v>76</v>
      </c>
      <c r="Q109" s="1" t="str" cm="1">
        <f t="array" ref="Q109">_xlfn.IFS(dataset3[[#This Row],[Windspeed]]&lt;=0.1,"0.00 -0.10",dataset3[[#This Row],[Windspeed]]&lt;=0.2,"0.10-0.20",dataset3[[#This Row],[Windspeed]]&lt;=0.3,"0.20-0.30",dataset3[[#This Row],[Windspeed]]&lt;=0.4,"0.30-0.40",dataset3[[#This Row],[Windspeed]]&lt;=0.5,"0.40-0.50",dataset3[[#This Row],[Windspeed]]&lt;=0.6,"0.50-0.60")</f>
        <v>0.30-0.40</v>
      </c>
      <c r="R109" s="1" t="str" cm="1">
        <f t="array" ref="R10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110" spans="1:18" x14ac:dyDescent="0.25">
      <c r="A110" s="1">
        <v>728</v>
      </c>
      <c r="B110" s="3">
        <v>40576</v>
      </c>
      <c r="C110" s="1">
        <v>1</v>
      </c>
      <c r="D110" s="1">
        <v>16</v>
      </c>
      <c r="E110" s="1" t="s">
        <v>27</v>
      </c>
      <c r="F110" s="1">
        <v>3</v>
      </c>
      <c r="G110" s="1">
        <v>1</v>
      </c>
      <c r="H110" s="1" t="str">
        <f t="shared" si="1"/>
        <v>Wednesday</v>
      </c>
      <c r="I110" s="1" t="str" cm="1">
        <f t="array" ref="I110">_xlfn.IFS(dataset3[[#This Row],[Weather sit]]=1,"1 Clear",dataset3[[#This Row],[Weather sit]]=2,"2 Misty/Cloudy",dataset3[[#This Row],[Weather sit]]=3,"3 Light Snow/Rain",dataset3[[#This Row],[Weather sit]]=4,"4 Heavy Snow/Rain")</f>
        <v>1 Clear</v>
      </c>
      <c r="J110" s="7">
        <v>0.36</v>
      </c>
      <c r="K110" s="7">
        <v>0.33329999999999999</v>
      </c>
      <c r="L110" s="7">
        <v>0.71</v>
      </c>
      <c r="M110" s="7">
        <v>0.29849999999999999</v>
      </c>
      <c r="N110" s="1">
        <v>8</v>
      </c>
      <c r="O110" s="1">
        <v>95</v>
      </c>
      <c r="P110" s="1">
        <v>103</v>
      </c>
      <c r="Q110" s="1" t="str" cm="1">
        <f t="array" ref="Q110">_xlfn.IFS(dataset3[[#This Row],[Windspeed]]&lt;=0.1,"0.00 -0.10",dataset3[[#This Row],[Windspeed]]&lt;=0.2,"0.10-0.20",dataset3[[#This Row],[Windspeed]]&lt;=0.3,"0.20-0.30",dataset3[[#This Row],[Windspeed]]&lt;=0.4,"0.30-0.40",dataset3[[#This Row],[Windspeed]]&lt;=0.5,"0.40-0.50",dataset3[[#This Row],[Windspeed]]&lt;=0.6,"0.50-0.60")</f>
        <v>0.20-0.30</v>
      </c>
      <c r="R110" s="1" t="str" cm="1">
        <f t="array" ref="R11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111" spans="1:18" x14ac:dyDescent="0.25">
      <c r="A111" s="1">
        <v>729</v>
      </c>
      <c r="B111" s="3">
        <v>40576</v>
      </c>
      <c r="C111" s="1">
        <v>1</v>
      </c>
      <c r="D111" s="1">
        <v>17</v>
      </c>
      <c r="E111" s="1" t="s">
        <v>27</v>
      </c>
      <c r="F111" s="1">
        <v>3</v>
      </c>
      <c r="G111" s="1">
        <v>1</v>
      </c>
      <c r="H111" s="1" t="str">
        <f t="shared" si="1"/>
        <v>Wednesday</v>
      </c>
      <c r="I111" s="1" t="str" cm="1">
        <f t="array" ref="I111">_xlfn.IFS(dataset3[[#This Row],[Weather sit]]=1,"1 Clear",dataset3[[#This Row],[Weather sit]]=2,"2 Misty/Cloudy",dataset3[[#This Row],[Weather sit]]=3,"3 Light Snow/Rain",dataset3[[#This Row],[Weather sit]]=4,"4 Heavy Snow/Rain")</f>
        <v>1 Clear</v>
      </c>
      <c r="J111" s="7">
        <v>0.36</v>
      </c>
      <c r="K111" s="7">
        <v>0.31819999999999998</v>
      </c>
      <c r="L111" s="7">
        <v>0.53</v>
      </c>
      <c r="M111" s="7">
        <v>0.52239999999999998</v>
      </c>
      <c r="N111" s="1">
        <v>7</v>
      </c>
      <c r="O111" s="1">
        <v>183</v>
      </c>
      <c r="P111" s="1">
        <v>190</v>
      </c>
      <c r="Q111" s="1" t="str" cm="1">
        <f t="array" ref="Q111">_xlfn.IFS(dataset3[[#This Row],[Windspeed]]&lt;=0.1,"0.00 -0.10",dataset3[[#This Row],[Windspeed]]&lt;=0.2,"0.10-0.20",dataset3[[#This Row],[Windspeed]]&lt;=0.3,"0.20-0.30",dataset3[[#This Row],[Windspeed]]&lt;=0.4,"0.30-0.40",dataset3[[#This Row],[Windspeed]]&lt;=0.5,"0.40-0.50",dataset3[[#This Row],[Windspeed]]&lt;=0.6,"0.50-0.60")</f>
        <v>0.50-0.60</v>
      </c>
      <c r="R111" s="1" t="str" cm="1">
        <f t="array" ref="R11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12" spans="1:18" x14ac:dyDescent="0.25">
      <c r="A112" s="1">
        <v>730</v>
      </c>
      <c r="B112" s="3">
        <v>40576</v>
      </c>
      <c r="C112" s="1">
        <v>1</v>
      </c>
      <c r="D112" s="1">
        <v>18</v>
      </c>
      <c r="E112" s="1" t="s">
        <v>27</v>
      </c>
      <c r="F112" s="1">
        <v>3</v>
      </c>
      <c r="G112" s="1">
        <v>1</v>
      </c>
      <c r="H112" s="1" t="str">
        <f t="shared" si="1"/>
        <v>Wednesday</v>
      </c>
      <c r="I112" s="1" t="str" cm="1">
        <f t="array" ref="I112">_xlfn.IFS(dataset3[[#This Row],[Weather sit]]=1,"1 Clear",dataset3[[#This Row],[Weather sit]]=2,"2 Misty/Cloudy",dataset3[[#This Row],[Weather sit]]=3,"3 Light Snow/Rain",dataset3[[#This Row],[Weather sit]]=4,"4 Heavy Snow/Rain")</f>
        <v>1 Clear</v>
      </c>
      <c r="J112" s="7">
        <v>0.34</v>
      </c>
      <c r="K112" s="7">
        <v>0.28789999999999999</v>
      </c>
      <c r="L112" s="7">
        <v>0.42</v>
      </c>
      <c r="M112" s="7">
        <v>0.55220000000000002</v>
      </c>
      <c r="N112" s="1">
        <v>7</v>
      </c>
      <c r="O112" s="1">
        <v>175</v>
      </c>
      <c r="P112" s="1">
        <v>182</v>
      </c>
      <c r="Q112" s="1" t="str" cm="1">
        <f t="array" ref="Q112">_xlfn.IFS(dataset3[[#This Row],[Windspeed]]&lt;=0.1,"0.00 -0.10",dataset3[[#This Row],[Windspeed]]&lt;=0.2,"0.10-0.20",dataset3[[#This Row],[Windspeed]]&lt;=0.3,"0.20-0.30",dataset3[[#This Row],[Windspeed]]&lt;=0.4,"0.30-0.40",dataset3[[#This Row],[Windspeed]]&lt;=0.5,"0.40-0.50",dataset3[[#This Row],[Windspeed]]&lt;=0.6,"0.50-0.60")</f>
        <v>0.50-0.60</v>
      </c>
      <c r="R112" s="1" t="str" cm="1">
        <f t="array" ref="R11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13" spans="1:18" x14ac:dyDescent="0.25">
      <c r="A113" s="1">
        <v>731</v>
      </c>
      <c r="B113" s="3">
        <v>40576</v>
      </c>
      <c r="C113" s="1">
        <v>1</v>
      </c>
      <c r="D113" s="1">
        <v>19</v>
      </c>
      <c r="E113" s="1" t="s">
        <v>27</v>
      </c>
      <c r="F113" s="1">
        <v>3</v>
      </c>
      <c r="G113" s="1">
        <v>1</v>
      </c>
      <c r="H113" s="1" t="str">
        <f t="shared" si="1"/>
        <v>Wednesday</v>
      </c>
      <c r="I113" s="1" t="str" cm="1">
        <f t="array" ref="I113">_xlfn.IFS(dataset3[[#This Row],[Weather sit]]=1,"1 Clear",dataset3[[#This Row],[Weather sit]]=2,"2 Misty/Cloudy",dataset3[[#This Row],[Weather sit]]=3,"3 Light Snow/Rain",dataset3[[#This Row],[Weather sit]]=4,"4 Heavy Snow/Rain")</f>
        <v>1 Clear</v>
      </c>
      <c r="J113" s="7">
        <v>0.28000000000000003</v>
      </c>
      <c r="K113" s="7">
        <v>0.2424</v>
      </c>
      <c r="L113" s="7">
        <v>0.45</v>
      </c>
      <c r="M113" s="7">
        <v>0.49249999999999999</v>
      </c>
      <c r="N113" s="1">
        <v>3</v>
      </c>
      <c r="O113" s="1">
        <v>88</v>
      </c>
      <c r="P113" s="1">
        <v>91</v>
      </c>
      <c r="Q113" s="1" t="str" cm="1">
        <f t="array" ref="Q113">_xlfn.IFS(dataset3[[#This Row],[Windspeed]]&lt;=0.1,"0.00 -0.10",dataset3[[#This Row],[Windspeed]]&lt;=0.2,"0.10-0.20",dataset3[[#This Row],[Windspeed]]&lt;=0.3,"0.20-0.30",dataset3[[#This Row],[Windspeed]]&lt;=0.4,"0.30-0.40",dataset3[[#This Row],[Windspeed]]&lt;=0.5,"0.40-0.50",dataset3[[#This Row],[Windspeed]]&lt;=0.6,"0.50-0.60")</f>
        <v>0.40-0.50</v>
      </c>
      <c r="R113" s="1" t="str" cm="1">
        <f t="array" ref="R11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14" spans="1:18" x14ac:dyDescent="0.25">
      <c r="A114" s="1">
        <v>732</v>
      </c>
      <c r="B114" s="3">
        <v>40576</v>
      </c>
      <c r="C114" s="1">
        <v>1</v>
      </c>
      <c r="D114" s="1">
        <v>20</v>
      </c>
      <c r="E114" s="1" t="s">
        <v>27</v>
      </c>
      <c r="F114" s="1">
        <v>3</v>
      </c>
      <c r="G114" s="1">
        <v>1</v>
      </c>
      <c r="H114" s="1" t="str">
        <f t="shared" si="1"/>
        <v>Wednesday</v>
      </c>
      <c r="I114" s="1" t="str" cm="1">
        <f t="array" ref="I114">_xlfn.IFS(dataset3[[#This Row],[Weather sit]]=1,"1 Clear",dataset3[[#This Row],[Weather sit]]=2,"2 Misty/Cloudy",dataset3[[#This Row],[Weather sit]]=3,"3 Light Snow/Rain",dataset3[[#This Row],[Weather sit]]=4,"4 Heavy Snow/Rain")</f>
        <v>1 Clear</v>
      </c>
      <c r="J114" s="7">
        <v>0.24</v>
      </c>
      <c r="K114" s="7">
        <v>0.19700000000000001</v>
      </c>
      <c r="L114" s="7">
        <v>0.48</v>
      </c>
      <c r="M114" s="7">
        <v>0.55220000000000002</v>
      </c>
      <c r="N114" s="1">
        <v>4</v>
      </c>
      <c r="O114" s="1">
        <v>71</v>
      </c>
      <c r="P114" s="1">
        <v>75</v>
      </c>
      <c r="Q114" s="1" t="str" cm="1">
        <f t="array" ref="Q114">_xlfn.IFS(dataset3[[#This Row],[Windspeed]]&lt;=0.1,"0.00 -0.10",dataset3[[#This Row],[Windspeed]]&lt;=0.2,"0.10-0.20",dataset3[[#This Row],[Windspeed]]&lt;=0.3,"0.20-0.30",dataset3[[#This Row],[Windspeed]]&lt;=0.4,"0.30-0.40",dataset3[[#This Row],[Windspeed]]&lt;=0.5,"0.40-0.50",dataset3[[#This Row],[Windspeed]]&lt;=0.6,"0.50-0.60")</f>
        <v>0.50-0.60</v>
      </c>
      <c r="R114" s="1" t="str" cm="1">
        <f t="array" ref="R11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15" spans="1:18" x14ac:dyDescent="0.25">
      <c r="A115" s="1">
        <v>733</v>
      </c>
      <c r="B115" s="3">
        <v>40576</v>
      </c>
      <c r="C115" s="1">
        <v>1</v>
      </c>
      <c r="D115" s="1">
        <v>21</v>
      </c>
      <c r="E115" s="1" t="s">
        <v>27</v>
      </c>
      <c r="F115" s="1">
        <v>3</v>
      </c>
      <c r="G115" s="1">
        <v>1</v>
      </c>
      <c r="H115" s="1" t="str">
        <f t="shared" si="1"/>
        <v>Wednesday</v>
      </c>
      <c r="I115" s="1" t="str" cm="1">
        <f t="array" ref="I115">_xlfn.IFS(dataset3[[#This Row],[Weather sit]]=1,"1 Clear",dataset3[[#This Row],[Weather sit]]=2,"2 Misty/Cloudy",dataset3[[#This Row],[Weather sit]]=3,"3 Light Snow/Rain",dataset3[[#This Row],[Weather sit]]=4,"4 Heavy Snow/Rain")</f>
        <v>1 Clear</v>
      </c>
      <c r="J115" s="7">
        <v>0.22</v>
      </c>
      <c r="K115" s="7">
        <v>0.19700000000000001</v>
      </c>
      <c r="L115" s="7">
        <v>0.47</v>
      </c>
      <c r="M115" s="7">
        <v>0.32840000000000003</v>
      </c>
      <c r="N115" s="1">
        <v>1</v>
      </c>
      <c r="O115" s="1">
        <v>62</v>
      </c>
      <c r="P115" s="1">
        <v>63</v>
      </c>
      <c r="Q115" s="1" t="str" cm="1">
        <f t="array" ref="Q115">_xlfn.IFS(dataset3[[#This Row],[Windspeed]]&lt;=0.1,"0.00 -0.10",dataset3[[#This Row],[Windspeed]]&lt;=0.2,"0.10-0.20",dataset3[[#This Row],[Windspeed]]&lt;=0.3,"0.20-0.30",dataset3[[#This Row],[Windspeed]]&lt;=0.4,"0.30-0.40",dataset3[[#This Row],[Windspeed]]&lt;=0.5,"0.40-0.50",dataset3[[#This Row],[Windspeed]]&lt;=0.6,"0.50-0.60")</f>
        <v>0.30-0.40</v>
      </c>
      <c r="R115" s="1" t="str" cm="1">
        <f t="array" ref="R11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16" spans="1:18" x14ac:dyDescent="0.25">
      <c r="A116" s="1">
        <v>734</v>
      </c>
      <c r="B116" s="3">
        <v>40576</v>
      </c>
      <c r="C116" s="1">
        <v>1</v>
      </c>
      <c r="D116" s="1">
        <v>22</v>
      </c>
      <c r="E116" s="1" t="s">
        <v>27</v>
      </c>
      <c r="F116" s="1">
        <v>3</v>
      </c>
      <c r="G116" s="1">
        <v>1</v>
      </c>
      <c r="H116" s="1" t="str">
        <f t="shared" si="1"/>
        <v>Wednesday</v>
      </c>
      <c r="I116" s="1" t="str" cm="1">
        <f t="array" ref="I116">_xlfn.IFS(dataset3[[#This Row],[Weather sit]]=1,"1 Clear",dataset3[[#This Row],[Weather sit]]=2,"2 Misty/Cloudy",dataset3[[#This Row],[Weather sit]]=3,"3 Light Snow/Rain",dataset3[[#This Row],[Weather sit]]=4,"4 Heavy Snow/Rain")</f>
        <v>1 Clear</v>
      </c>
      <c r="J116" s="7">
        <v>0.22</v>
      </c>
      <c r="K116" s="7">
        <v>0.21210000000000001</v>
      </c>
      <c r="L116" s="7">
        <v>0.44</v>
      </c>
      <c r="M116" s="7">
        <v>0.25369999999999998</v>
      </c>
      <c r="N116" s="1">
        <v>5</v>
      </c>
      <c r="O116" s="1">
        <v>35</v>
      </c>
      <c r="P116" s="1">
        <v>40</v>
      </c>
      <c r="Q116" s="1" t="str" cm="1">
        <f t="array" ref="Q116">_xlfn.IFS(dataset3[[#This Row],[Windspeed]]&lt;=0.1,"0.00 -0.10",dataset3[[#This Row],[Windspeed]]&lt;=0.2,"0.10-0.20",dataset3[[#This Row],[Windspeed]]&lt;=0.3,"0.20-0.30",dataset3[[#This Row],[Windspeed]]&lt;=0.4,"0.30-0.40",dataset3[[#This Row],[Windspeed]]&lt;=0.5,"0.40-0.50",dataset3[[#This Row],[Windspeed]]&lt;=0.6,"0.50-0.60")</f>
        <v>0.20-0.30</v>
      </c>
      <c r="R116" s="1" t="str" cm="1">
        <f t="array" ref="R11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17" spans="1:18" x14ac:dyDescent="0.25">
      <c r="A117" s="1">
        <v>735</v>
      </c>
      <c r="B117" s="3">
        <v>40576</v>
      </c>
      <c r="C117" s="1">
        <v>1</v>
      </c>
      <c r="D117" s="1">
        <v>23</v>
      </c>
      <c r="E117" s="1" t="s">
        <v>27</v>
      </c>
      <c r="F117" s="1">
        <v>3</v>
      </c>
      <c r="G117" s="1">
        <v>1</v>
      </c>
      <c r="H117" s="1" t="str">
        <f t="shared" si="1"/>
        <v>Wednesday</v>
      </c>
      <c r="I117" s="1" t="str" cm="1">
        <f t="array" ref="I117">_xlfn.IFS(dataset3[[#This Row],[Weather sit]]=1,"1 Clear",dataset3[[#This Row],[Weather sit]]=2,"2 Misty/Cloudy",dataset3[[#This Row],[Weather sit]]=3,"3 Light Snow/Rain",dataset3[[#This Row],[Weather sit]]=4,"4 Heavy Snow/Rain")</f>
        <v>1 Clear</v>
      </c>
      <c r="J117" s="7">
        <v>0.2</v>
      </c>
      <c r="K117" s="7">
        <v>0.16669999999999999</v>
      </c>
      <c r="L117" s="7">
        <v>0.44</v>
      </c>
      <c r="M117" s="7">
        <v>0.44779999999999998</v>
      </c>
      <c r="N117" s="1">
        <v>3</v>
      </c>
      <c r="O117" s="1">
        <v>29</v>
      </c>
      <c r="P117" s="1">
        <v>32</v>
      </c>
      <c r="Q117" s="1" t="str" cm="1">
        <f t="array" ref="Q117">_xlfn.IFS(dataset3[[#This Row],[Windspeed]]&lt;=0.1,"0.00 -0.10",dataset3[[#This Row],[Windspeed]]&lt;=0.2,"0.10-0.20",dataset3[[#This Row],[Windspeed]]&lt;=0.3,"0.20-0.30",dataset3[[#This Row],[Windspeed]]&lt;=0.4,"0.30-0.40",dataset3[[#This Row],[Windspeed]]&lt;=0.5,"0.40-0.50",dataset3[[#This Row],[Windspeed]]&lt;=0.6,"0.50-0.60")</f>
        <v>0.40-0.50</v>
      </c>
      <c r="R117" s="1" t="str" cm="1">
        <f t="array" ref="R11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18" spans="1:18" x14ac:dyDescent="0.25">
      <c r="A118" s="1">
        <v>736</v>
      </c>
      <c r="B118" s="3">
        <v>40577</v>
      </c>
      <c r="C118" s="1">
        <v>1</v>
      </c>
      <c r="D118" s="1">
        <v>0</v>
      </c>
      <c r="E118" s="1" t="s">
        <v>27</v>
      </c>
      <c r="F118" s="1">
        <v>4</v>
      </c>
      <c r="G118" s="1">
        <v>1</v>
      </c>
      <c r="H118" s="1" t="str">
        <f t="shared" si="1"/>
        <v>Thursday</v>
      </c>
      <c r="I118" s="1" t="str" cm="1">
        <f t="array" ref="I118">_xlfn.IFS(dataset3[[#This Row],[Weather sit]]=1,"1 Clear",dataset3[[#This Row],[Weather sit]]=2,"2 Misty/Cloudy",dataset3[[#This Row],[Weather sit]]=3,"3 Light Snow/Rain",dataset3[[#This Row],[Weather sit]]=4,"4 Heavy Snow/Rain")</f>
        <v>1 Clear</v>
      </c>
      <c r="J118" s="7">
        <v>0.2</v>
      </c>
      <c r="K118" s="7">
        <v>0.16669999999999999</v>
      </c>
      <c r="L118" s="7">
        <v>0.4</v>
      </c>
      <c r="M118" s="7">
        <v>0.44779999999999998</v>
      </c>
      <c r="N118" s="1">
        <v>1</v>
      </c>
      <c r="O118" s="1">
        <v>11</v>
      </c>
      <c r="P118" s="1">
        <v>12</v>
      </c>
      <c r="Q118" s="1" t="str" cm="1">
        <f t="array" ref="Q118">_xlfn.IFS(dataset3[[#This Row],[Windspeed]]&lt;=0.1,"0.00 -0.10",dataset3[[#This Row],[Windspeed]]&lt;=0.2,"0.10-0.20",dataset3[[#This Row],[Windspeed]]&lt;=0.3,"0.20-0.30",dataset3[[#This Row],[Windspeed]]&lt;=0.4,"0.30-0.40",dataset3[[#This Row],[Windspeed]]&lt;=0.5,"0.40-0.50",dataset3[[#This Row],[Windspeed]]&lt;=0.6,"0.50-0.60")</f>
        <v>0.40-0.50</v>
      </c>
      <c r="R118" s="1" t="str" cm="1">
        <f t="array" ref="R11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119" spans="1:18" x14ac:dyDescent="0.25">
      <c r="A119" s="1">
        <v>737</v>
      </c>
      <c r="B119" s="3">
        <v>40577</v>
      </c>
      <c r="C119" s="1">
        <v>1</v>
      </c>
      <c r="D119" s="1">
        <v>1</v>
      </c>
      <c r="E119" s="1" t="s">
        <v>27</v>
      </c>
      <c r="F119" s="1">
        <v>4</v>
      </c>
      <c r="G119" s="1">
        <v>1</v>
      </c>
      <c r="H119" s="1" t="str">
        <f t="shared" si="1"/>
        <v>Thursday</v>
      </c>
      <c r="I119" s="1" t="str" cm="1">
        <f t="array" ref="I119">_xlfn.IFS(dataset3[[#This Row],[Weather sit]]=1,"1 Clear",dataset3[[#This Row],[Weather sit]]=2,"2 Misty/Cloudy",dataset3[[#This Row],[Weather sit]]=3,"3 Light Snow/Rain",dataset3[[#This Row],[Weather sit]]=4,"4 Heavy Snow/Rain")</f>
        <v>1 Clear</v>
      </c>
      <c r="J119" s="7">
        <v>0.2</v>
      </c>
      <c r="K119" s="7">
        <v>0.1515</v>
      </c>
      <c r="L119" s="7">
        <v>0.44</v>
      </c>
      <c r="M119" s="7">
        <v>0.52239999999999998</v>
      </c>
      <c r="N119" s="1">
        <v>0</v>
      </c>
      <c r="O119" s="1">
        <v>5</v>
      </c>
      <c r="P119" s="1">
        <v>5</v>
      </c>
      <c r="Q119" s="1" t="str" cm="1">
        <f t="array" ref="Q119">_xlfn.IFS(dataset3[[#This Row],[Windspeed]]&lt;=0.1,"0.00 -0.10",dataset3[[#This Row],[Windspeed]]&lt;=0.2,"0.10-0.20",dataset3[[#This Row],[Windspeed]]&lt;=0.3,"0.20-0.30",dataset3[[#This Row],[Windspeed]]&lt;=0.4,"0.30-0.40",dataset3[[#This Row],[Windspeed]]&lt;=0.5,"0.40-0.50",dataset3[[#This Row],[Windspeed]]&lt;=0.6,"0.50-0.60")</f>
        <v>0.50-0.60</v>
      </c>
      <c r="R119" s="1" t="str" cm="1">
        <f t="array" ref="R11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20" spans="1:18" x14ac:dyDescent="0.25">
      <c r="A120" s="1">
        <v>738</v>
      </c>
      <c r="B120" s="3">
        <v>40577</v>
      </c>
      <c r="C120" s="1">
        <v>1</v>
      </c>
      <c r="D120" s="1">
        <v>2</v>
      </c>
      <c r="E120" s="1" t="s">
        <v>27</v>
      </c>
      <c r="F120" s="1">
        <v>4</v>
      </c>
      <c r="G120" s="1">
        <v>1</v>
      </c>
      <c r="H120" s="1" t="str">
        <f t="shared" si="1"/>
        <v>Thursday</v>
      </c>
      <c r="I120" s="1" t="str" cm="1">
        <f t="array" ref="I120">_xlfn.IFS(dataset3[[#This Row],[Weather sit]]=1,"1 Clear",dataset3[[#This Row],[Weather sit]]=2,"2 Misty/Cloudy",dataset3[[#This Row],[Weather sit]]=3,"3 Light Snow/Rain",dataset3[[#This Row],[Weather sit]]=4,"4 Heavy Snow/Rain")</f>
        <v>1 Clear</v>
      </c>
      <c r="J120" s="7">
        <v>0.18</v>
      </c>
      <c r="K120" s="7">
        <v>0.16669999999999999</v>
      </c>
      <c r="L120" s="7">
        <v>0.43</v>
      </c>
      <c r="M120" s="7">
        <v>0.25369999999999998</v>
      </c>
      <c r="N120" s="1">
        <v>0</v>
      </c>
      <c r="O120" s="1">
        <v>2</v>
      </c>
      <c r="P120" s="1">
        <v>2</v>
      </c>
      <c r="Q120" s="1" t="str" cm="1">
        <f t="array" ref="Q120">_xlfn.IFS(dataset3[[#This Row],[Windspeed]]&lt;=0.1,"0.00 -0.10",dataset3[[#This Row],[Windspeed]]&lt;=0.2,"0.10-0.20",dataset3[[#This Row],[Windspeed]]&lt;=0.3,"0.20-0.30",dataset3[[#This Row],[Windspeed]]&lt;=0.4,"0.30-0.40",dataset3[[#This Row],[Windspeed]]&lt;=0.5,"0.40-0.50",dataset3[[#This Row],[Windspeed]]&lt;=0.6,"0.50-0.60")</f>
        <v>0.20-0.30</v>
      </c>
      <c r="R120" s="1" t="str" cm="1">
        <f t="array" ref="R12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21" spans="1:18" x14ac:dyDescent="0.25">
      <c r="A121" s="1">
        <v>739</v>
      </c>
      <c r="B121" s="3">
        <v>40577</v>
      </c>
      <c r="C121" s="1">
        <v>1</v>
      </c>
      <c r="D121" s="1">
        <v>3</v>
      </c>
      <c r="E121" s="1" t="s">
        <v>27</v>
      </c>
      <c r="F121" s="1">
        <v>4</v>
      </c>
      <c r="G121" s="1">
        <v>1</v>
      </c>
      <c r="H121" s="1" t="str">
        <f t="shared" si="1"/>
        <v>Thursday</v>
      </c>
      <c r="I121" s="1" t="str" cm="1">
        <f t="array" ref="I121">_xlfn.IFS(dataset3[[#This Row],[Weather sit]]=1,"1 Clear",dataset3[[#This Row],[Weather sit]]=2,"2 Misty/Cloudy",dataset3[[#This Row],[Weather sit]]=3,"3 Light Snow/Rain",dataset3[[#This Row],[Weather sit]]=4,"4 Heavy Snow/Rain")</f>
        <v>1 Clear</v>
      </c>
      <c r="J121" s="7">
        <v>0.18</v>
      </c>
      <c r="K121" s="7">
        <v>0.16669999999999999</v>
      </c>
      <c r="L121" s="7">
        <v>0.43</v>
      </c>
      <c r="M121" s="7">
        <v>0.25369999999999998</v>
      </c>
      <c r="N121" s="1">
        <v>0</v>
      </c>
      <c r="O121" s="1">
        <v>1</v>
      </c>
      <c r="P121" s="1">
        <v>1</v>
      </c>
      <c r="Q121" s="1" t="str" cm="1">
        <f t="array" ref="Q121">_xlfn.IFS(dataset3[[#This Row],[Windspeed]]&lt;=0.1,"0.00 -0.10",dataset3[[#This Row],[Windspeed]]&lt;=0.2,"0.10-0.20",dataset3[[#This Row],[Windspeed]]&lt;=0.3,"0.20-0.30",dataset3[[#This Row],[Windspeed]]&lt;=0.4,"0.30-0.40",dataset3[[#This Row],[Windspeed]]&lt;=0.5,"0.40-0.50",dataset3[[#This Row],[Windspeed]]&lt;=0.6,"0.50-0.60")</f>
        <v>0.20-0.30</v>
      </c>
      <c r="R121" s="1" t="str" cm="1">
        <f t="array" ref="R12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22" spans="1:18" x14ac:dyDescent="0.25">
      <c r="A122" s="1">
        <v>740</v>
      </c>
      <c r="B122" s="3">
        <v>40577</v>
      </c>
      <c r="C122" s="1">
        <v>1</v>
      </c>
      <c r="D122" s="1">
        <v>5</v>
      </c>
      <c r="E122" s="1" t="s">
        <v>27</v>
      </c>
      <c r="F122" s="1">
        <v>4</v>
      </c>
      <c r="G122" s="1">
        <v>1</v>
      </c>
      <c r="H122" s="1" t="str">
        <f t="shared" si="1"/>
        <v>Thursday</v>
      </c>
      <c r="I122" s="1" t="str" cm="1">
        <f t="array" ref="I122">_xlfn.IFS(dataset3[[#This Row],[Weather sit]]=1,"1 Clear",dataset3[[#This Row],[Weather sit]]=2,"2 Misty/Cloudy",dataset3[[#This Row],[Weather sit]]=3,"3 Light Snow/Rain",dataset3[[#This Row],[Weather sit]]=4,"4 Heavy Snow/Rain")</f>
        <v>1 Clear</v>
      </c>
      <c r="J122" s="7">
        <v>0.16</v>
      </c>
      <c r="K122" s="7">
        <v>0.13639999999999999</v>
      </c>
      <c r="L122" s="7">
        <v>0.5</v>
      </c>
      <c r="M122" s="7">
        <v>0.29849999999999999</v>
      </c>
      <c r="N122" s="1">
        <v>0</v>
      </c>
      <c r="O122" s="1">
        <v>2</v>
      </c>
      <c r="P122" s="1">
        <v>2</v>
      </c>
      <c r="Q122" s="1" t="str" cm="1">
        <f t="array" ref="Q122">_xlfn.IFS(dataset3[[#This Row],[Windspeed]]&lt;=0.1,"0.00 -0.10",dataset3[[#This Row],[Windspeed]]&lt;=0.2,"0.10-0.20",dataset3[[#This Row],[Windspeed]]&lt;=0.3,"0.20-0.30",dataset3[[#This Row],[Windspeed]]&lt;=0.4,"0.30-0.40",dataset3[[#This Row],[Windspeed]]&lt;=0.5,"0.40-0.50",dataset3[[#This Row],[Windspeed]]&lt;=0.6,"0.50-0.60")</f>
        <v>0.20-0.30</v>
      </c>
      <c r="R122" s="1" t="str" cm="1">
        <f t="array" ref="R12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23" spans="1:18" x14ac:dyDescent="0.25">
      <c r="A123" s="1">
        <v>741</v>
      </c>
      <c r="B123" s="3">
        <v>40577</v>
      </c>
      <c r="C123" s="1">
        <v>1</v>
      </c>
      <c r="D123" s="1">
        <v>6</v>
      </c>
      <c r="E123" s="1" t="s">
        <v>27</v>
      </c>
      <c r="F123" s="1">
        <v>4</v>
      </c>
      <c r="G123" s="1">
        <v>1</v>
      </c>
      <c r="H123" s="1" t="str">
        <f t="shared" si="1"/>
        <v>Thursday</v>
      </c>
      <c r="I123" s="1" t="str" cm="1">
        <f t="array" ref="I123">_xlfn.IFS(dataset3[[#This Row],[Weather sit]]=1,"1 Clear",dataset3[[#This Row],[Weather sit]]=2,"2 Misty/Cloudy",dataset3[[#This Row],[Weather sit]]=3,"3 Light Snow/Rain",dataset3[[#This Row],[Weather sit]]=4,"4 Heavy Snow/Rain")</f>
        <v>1 Clear</v>
      </c>
      <c r="J123" s="7">
        <v>0.16</v>
      </c>
      <c r="K123" s="7">
        <v>0.13639999999999999</v>
      </c>
      <c r="L123" s="7">
        <v>0.43</v>
      </c>
      <c r="M123" s="7">
        <v>0.35820000000000002</v>
      </c>
      <c r="N123" s="1">
        <v>0</v>
      </c>
      <c r="O123" s="1">
        <v>39</v>
      </c>
      <c r="P123" s="1">
        <v>39</v>
      </c>
      <c r="Q123" s="1" t="str" cm="1">
        <f t="array" ref="Q123">_xlfn.IFS(dataset3[[#This Row],[Windspeed]]&lt;=0.1,"0.00 -0.10",dataset3[[#This Row],[Windspeed]]&lt;=0.2,"0.10-0.20",dataset3[[#This Row],[Windspeed]]&lt;=0.3,"0.20-0.30",dataset3[[#This Row],[Windspeed]]&lt;=0.4,"0.30-0.40",dataset3[[#This Row],[Windspeed]]&lt;=0.5,"0.40-0.50",dataset3[[#This Row],[Windspeed]]&lt;=0.6,"0.50-0.60")</f>
        <v>0.30-0.40</v>
      </c>
      <c r="R123" s="1" t="str" cm="1">
        <f t="array" ref="R12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24" spans="1:18" x14ac:dyDescent="0.25">
      <c r="A124" s="1">
        <v>742</v>
      </c>
      <c r="B124" s="3">
        <v>40577</v>
      </c>
      <c r="C124" s="1">
        <v>1</v>
      </c>
      <c r="D124" s="1">
        <v>7</v>
      </c>
      <c r="E124" s="1" t="s">
        <v>27</v>
      </c>
      <c r="F124" s="1">
        <v>4</v>
      </c>
      <c r="G124" s="1">
        <v>1</v>
      </c>
      <c r="H124" s="1" t="str">
        <f t="shared" si="1"/>
        <v>Thursday</v>
      </c>
      <c r="I124" s="1" t="str" cm="1">
        <f t="array" ref="I124">_xlfn.IFS(dataset3[[#This Row],[Weather sit]]=1,"1 Clear",dataset3[[#This Row],[Weather sit]]=2,"2 Misty/Cloudy",dataset3[[#This Row],[Weather sit]]=3,"3 Light Snow/Rain",dataset3[[#This Row],[Weather sit]]=4,"4 Heavy Snow/Rain")</f>
        <v>1 Clear</v>
      </c>
      <c r="J124" s="7">
        <v>0.14000000000000001</v>
      </c>
      <c r="K124" s="7">
        <v>0.1212</v>
      </c>
      <c r="L124" s="7">
        <v>0.5</v>
      </c>
      <c r="M124" s="7">
        <v>0.32840000000000003</v>
      </c>
      <c r="N124" s="1">
        <v>1</v>
      </c>
      <c r="O124" s="1">
        <v>86</v>
      </c>
      <c r="P124" s="1">
        <v>87</v>
      </c>
      <c r="Q124" s="1" t="str" cm="1">
        <f t="array" ref="Q124">_xlfn.IFS(dataset3[[#This Row],[Windspeed]]&lt;=0.1,"0.00 -0.10",dataset3[[#This Row],[Windspeed]]&lt;=0.2,"0.10-0.20",dataset3[[#This Row],[Windspeed]]&lt;=0.3,"0.20-0.30",dataset3[[#This Row],[Windspeed]]&lt;=0.4,"0.30-0.40",dataset3[[#This Row],[Windspeed]]&lt;=0.5,"0.40-0.50",dataset3[[#This Row],[Windspeed]]&lt;=0.6,"0.50-0.60")</f>
        <v>0.30-0.40</v>
      </c>
      <c r="R124" s="1" t="str" cm="1">
        <f t="array" ref="R12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25" spans="1:18" x14ac:dyDescent="0.25">
      <c r="A125" s="1">
        <v>743</v>
      </c>
      <c r="B125" s="3">
        <v>40577</v>
      </c>
      <c r="C125" s="1">
        <v>1</v>
      </c>
      <c r="D125" s="1">
        <v>8</v>
      </c>
      <c r="E125" s="1" t="s">
        <v>27</v>
      </c>
      <c r="F125" s="1">
        <v>4</v>
      </c>
      <c r="G125" s="1">
        <v>1</v>
      </c>
      <c r="H125" s="1" t="str">
        <f t="shared" si="1"/>
        <v>Thursday</v>
      </c>
      <c r="I125" s="1" t="str" cm="1">
        <f t="array" ref="I125">_xlfn.IFS(dataset3[[#This Row],[Weather sit]]=1,"1 Clear",dataset3[[#This Row],[Weather sit]]=2,"2 Misty/Cloudy",dataset3[[#This Row],[Weather sit]]=3,"3 Light Snow/Rain",dataset3[[#This Row],[Weather sit]]=4,"4 Heavy Snow/Rain")</f>
        <v>1 Clear</v>
      </c>
      <c r="J125" s="7">
        <v>0.14000000000000001</v>
      </c>
      <c r="K125" s="7">
        <v>0.1212</v>
      </c>
      <c r="L125" s="7">
        <v>0.5</v>
      </c>
      <c r="M125" s="7">
        <v>0.35820000000000002</v>
      </c>
      <c r="N125" s="1">
        <v>4</v>
      </c>
      <c r="O125" s="1">
        <v>184</v>
      </c>
      <c r="P125" s="1">
        <v>188</v>
      </c>
      <c r="Q125" s="1" t="str" cm="1">
        <f t="array" ref="Q125">_xlfn.IFS(dataset3[[#This Row],[Windspeed]]&lt;=0.1,"0.00 -0.10",dataset3[[#This Row],[Windspeed]]&lt;=0.2,"0.10-0.20",dataset3[[#This Row],[Windspeed]]&lt;=0.3,"0.20-0.30",dataset3[[#This Row],[Windspeed]]&lt;=0.4,"0.30-0.40",dataset3[[#This Row],[Windspeed]]&lt;=0.5,"0.40-0.50",dataset3[[#This Row],[Windspeed]]&lt;=0.6,"0.50-0.60")</f>
        <v>0.30-0.40</v>
      </c>
      <c r="R125" s="1" t="str" cm="1">
        <f t="array" ref="R12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26" spans="1:18" x14ac:dyDescent="0.25">
      <c r="A126" s="1">
        <v>744</v>
      </c>
      <c r="B126" s="3">
        <v>40577</v>
      </c>
      <c r="C126" s="1">
        <v>1</v>
      </c>
      <c r="D126" s="1">
        <v>9</v>
      </c>
      <c r="E126" s="1" t="s">
        <v>27</v>
      </c>
      <c r="F126" s="1">
        <v>4</v>
      </c>
      <c r="G126" s="1">
        <v>1</v>
      </c>
      <c r="H126" s="1" t="str">
        <f t="shared" si="1"/>
        <v>Thursday</v>
      </c>
      <c r="I126" s="1" t="str" cm="1">
        <f t="array" ref="I126">_xlfn.IFS(dataset3[[#This Row],[Weather sit]]=1,"1 Clear",dataset3[[#This Row],[Weather sit]]=2,"2 Misty/Cloudy",dataset3[[#This Row],[Weather sit]]=3,"3 Light Snow/Rain",dataset3[[#This Row],[Weather sit]]=4,"4 Heavy Snow/Rain")</f>
        <v>1 Clear</v>
      </c>
      <c r="J126" s="7">
        <v>0.16</v>
      </c>
      <c r="K126" s="7">
        <v>0.13639999999999999</v>
      </c>
      <c r="L126" s="7">
        <v>0.47</v>
      </c>
      <c r="M126" s="7">
        <v>0.29849999999999999</v>
      </c>
      <c r="N126" s="1">
        <v>6</v>
      </c>
      <c r="O126" s="1">
        <v>127</v>
      </c>
      <c r="P126" s="1">
        <v>133</v>
      </c>
      <c r="Q126" s="1" t="str" cm="1">
        <f t="array" ref="Q126">_xlfn.IFS(dataset3[[#This Row],[Windspeed]]&lt;=0.1,"0.00 -0.10",dataset3[[#This Row],[Windspeed]]&lt;=0.2,"0.10-0.20",dataset3[[#This Row],[Windspeed]]&lt;=0.3,"0.20-0.30",dataset3[[#This Row],[Windspeed]]&lt;=0.4,"0.30-0.40",dataset3[[#This Row],[Windspeed]]&lt;=0.5,"0.40-0.50",dataset3[[#This Row],[Windspeed]]&lt;=0.6,"0.50-0.60")</f>
        <v>0.20-0.30</v>
      </c>
      <c r="R126" s="1" t="str" cm="1">
        <f t="array" ref="R12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27" spans="1:18" x14ac:dyDescent="0.25">
      <c r="A127" s="1">
        <v>745</v>
      </c>
      <c r="B127" s="3">
        <v>40577</v>
      </c>
      <c r="C127" s="1">
        <v>1</v>
      </c>
      <c r="D127" s="1">
        <v>10</v>
      </c>
      <c r="E127" s="1" t="s">
        <v>27</v>
      </c>
      <c r="F127" s="1">
        <v>4</v>
      </c>
      <c r="G127" s="1">
        <v>1</v>
      </c>
      <c r="H127" s="1" t="str">
        <f t="shared" si="1"/>
        <v>Thursday</v>
      </c>
      <c r="I127" s="1" t="str" cm="1">
        <f t="array" ref="I127">_xlfn.IFS(dataset3[[#This Row],[Weather sit]]=1,"1 Clear",dataset3[[#This Row],[Weather sit]]=2,"2 Misty/Cloudy",dataset3[[#This Row],[Weather sit]]=3,"3 Light Snow/Rain",dataset3[[#This Row],[Weather sit]]=4,"4 Heavy Snow/Rain")</f>
        <v>1 Clear</v>
      </c>
      <c r="J127" s="7">
        <v>0.18</v>
      </c>
      <c r="K127" s="7">
        <v>0.1515</v>
      </c>
      <c r="L127" s="7">
        <v>0.43</v>
      </c>
      <c r="M127" s="7">
        <v>0.32840000000000003</v>
      </c>
      <c r="N127" s="1">
        <v>2</v>
      </c>
      <c r="O127" s="1">
        <v>50</v>
      </c>
      <c r="P127" s="1">
        <v>52</v>
      </c>
      <c r="Q127" s="1" t="str" cm="1">
        <f t="array" ref="Q127">_xlfn.IFS(dataset3[[#This Row],[Windspeed]]&lt;=0.1,"0.00 -0.10",dataset3[[#This Row],[Windspeed]]&lt;=0.2,"0.10-0.20",dataset3[[#This Row],[Windspeed]]&lt;=0.3,"0.20-0.30",dataset3[[#This Row],[Windspeed]]&lt;=0.4,"0.30-0.40",dataset3[[#This Row],[Windspeed]]&lt;=0.5,"0.40-0.50",dataset3[[#This Row],[Windspeed]]&lt;=0.6,"0.50-0.60")</f>
        <v>0.30-0.40</v>
      </c>
      <c r="R127" s="1" t="str" cm="1">
        <f t="array" ref="R12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28" spans="1:18" x14ac:dyDescent="0.25">
      <c r="A128" s="1">
        <v>746</v>
      </c>
      <c r="B128" s="3">
        <v>40577</v>
      </c>
      <c r="C128" s="1">
        <v>1</v>
      </c>
      <c r="D128" s="1">
        <v>11</v>
      </c>
      <c r="E128" s="1" t="s">
        <v>27</v>
      </c>
      <c r="F128" s="1">
        <v>4</v>
      </c>
      <c r="G128" s="1">
        <v>1</v>
      </c>
      <c r="H128" s="1" t="str">
        <f t="shared" si="1"/>
        <v>Thursday</v>
      </c>
      <c r="I128" s="1" t="str" cm="1">
        <f t="array" ref="I128">_xlfn.IFS(dataset3[[#This Row],[Weather sit]]=1,"1 Clear",dataset3[[#This Row],[Weather sit]]=2,"2 Misty/Cloudy",dataset3[[#This Row],[Weather sit]]=3,"3 Light Snow/Rain",dataset3[[#This Row],[Weather sit]]=4,"4 Heavy Snow/Rain")</f>
        <v>1 Clear</v>
      </c>
      <c r="J128" s="7">
        <v>0.18</v>
      </c>
      <c r="K128" s="7">
        <v>0.13639999999999999</v>
      </c>
      <c r="L128" s="7">
        <v>0.43</v>
      </c>
      <c r="M128" s="7">
        <v>0.44779999999999998</v>
      </c>
      <c r="N128" s="1">
        <v>9</v>
      </c>
      <c r="O128" s="1">
        <v>55</v>
      </c>
      <c r="P128" s="1">
        <v>64</v>
      </c>
      <c r="Q128" s="1" t="str" cm="1">
        <f t="array" ref="Q128">_xlfn.IFS(dataset3[[#This Row],[Windspeed]]&lt;=0.1,"0.00 -0.10",dataset3[[#This Row],[Windspeed]]&lt;=0.2,"0.10-0.20",dataset3[[#This Row],[Windspeed]]&lt;=0.3,"0.20-0.30",dataset3[[#This Row],[Windspeed]]&lt;=0.4,"0.30-0.40",dataset3[[#This Row],[Windspeed]]&lt;=0.5,"0.40-0.50",dataset3[[#This Row],[Windspeed]]&lt;=0.6,"0.50-0.60")</f>
        <v>0.40-0.50</v>
      </c>
      <c r="R128" s="1" t="str" cm="1">
        <f t="array" ref="R12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29" spans="1:18" x14ac:dyDescent="0.25">
      <c r="A129" s="1">
        <v>747</v>
      </c>
      <c r="B129" s="3">
        <v>40577</v>
      </c>
      <c r="C129" s="1">
        <v>1</v>
      </c>
      <c r="D129" s="1">
        <v>12</v>
      </c>
      <c r="E129" s="1" t="s">
        <v>27</v>
      </c>
      <c r="F129" s="1">
        <v>4</v>
      </c>
      <c r="G129" s="1">
        <v>1</v>
      </c>
      <c r="H129" s="1" t="str">
        <f t="shared" si="1"/>
        <v>Thursday</v>
      </c>
      <c r="I129" s="1" t="str" cm="1">
        <f t="array" ref="I129">_xlfn.IFS(dataset3[[#This Row],[Weather sit]]=1,"1 Clear",dataset3[[#This Row],[Weather sit]]=2,"2 Misty/Cloudy",dataset3[[#This Row],[Weather sit]]=3,"3 Light Snow/Rain",dataset3[[#This Row],[Weather sit]]=4,"4 Heavy Snow/Rain")</f>
        <v>1 Clear</v>
      </c>
      <c r="J129" s="7">
        <v>0.2</v>
      </c>
      <c r="K129" s="7">
        <v>0.18179999999999999</v>
      </c>
      <c r="L129" s="7">
        <v>0.4</v>
      </c>
      <c r="M129" s="7">
        <v>0.35820000000000002</v>
      </c>
      <c r="N129" s="1">
        <v>2</v>
      </c>
      <c r="O129" s="1">
        <v>67</v>
      </c>
      <c r="P129" s="1">
        <v>69</v>
      </c>
      <c r="Q129" s="1" t="str" cm="1">
        <f t="array" ref="Q129">_xlfn.IFS(dataset3[[#This Row],[Windspeed]]&lt;=0.1,"0.00 -0.10",dataset3[[#This Row],[Windspeed]]&lt;=0.2,"0.10-0.20",dataset3[[#This Row],[Windspeed]]&lt;=0.3,"0.20-0.30",dataset3[[#This Row],[Windspeed]]&lt;=0.4,"0.30-0.40",dataset3[[#This Row],[Windspeed]]&lt;=0.5,"0.40-0.50",dataset3[[#This Row],[Windspeed]]&lt;=0.6,"0.50-0.60")</f>
        <v>0.30-0.40</v>
      </c>
      <c r="R129" s="1" t="str" cm="1">
        <f t="array" ref="R12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130" spans="1:18" x14ac:dyDescent="0.25">
      <c r="A130" s="1">
        <v>748</v>
      </c>
      <c r="B130" s="3">
        <v>40577</v>
      </c>
      <c r="C130" s="1">
        <v>1</v>
      </c>
      <c r="D130" s="1">
        <v>13</v>
      </c>
      <c r="E130" s="1" t="s">
        <v>27</v>
      </c>
      <c r="F130" s="1">
        <v>4</v>
      </c>
      <c r="G130" s="1">
        <v>1</v>
      </c>
      <c r="H130" s="1" t="str">
        <f t="shared" ref="H130:H193" si="2">TEXT(B130,"dddd")</f>
        <v>Thursday</v>
      </c>
      <c r="I130" s="1" t="str" cm="1">
        <f t="array" ref="I130">_xlfn.IFS(dataset3[[#This Row],[Weather sit]]=1,"1 Clear",dataset3[[#This Row],[Weather sit]]=2,"2 Misty/Cloudy",dataset3[[#This Row],[Weather sit]]=3,"3 Light Snow/Rain",dataset3[[#This Row],[Weather sit]]=4,"4 Heavy Snow/Rain")</f>
        <v>1 Clear</v>
      </c>
      <c r="J130" s="7">
        <v>0.2</v>
      </c>
      <c r="K130" s="7">
        <v>0.16669999999999999</v>
      </c>
      <c r="L130" s="7">
        <v>0.4</v>
      </c>
      <c r="M130" s="7">
        <v>0.41789999999999999</v>
      </c>
      <c r="N130" s="1">
        <v>4</v>
      </c>
      <c r="O130" s="1">
        <v>47</v>
      </c>
      <c r="P130" s="1">
        <v>51</v>
      </c>
      <c r="Q130" s="1" t="str" cm="1">
        <f t="array" ref="Q130">_xlfn.IFS(dataset3[[#This Row],[Windspeed]]&lt;=0.1,"0.00 -0.10",dataset3[[#This Row],[Windspeed]]&lt;=0.2,"0.10-0.20",dataset3[[#This Row],[Windspeed]]&lt;=0.3,"0.20-0.30",dataset3[[#This Row],[Windspeed]]&lt;=0.4,"0.30-0.40",dataset3[[#This Row],[Windspeed]]&lt;=0.5,"0.40-0.50",dataset3[[#This Row],[Windspeed]]&lt;=0.6,"0.50-0.60")</f>
        <v>0.40-0.50</v>
      </c>
      <c r="R130" s="1" t="str" cm="1">
        <f t="array" ref="R13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131" spans="1:18" x14ac:dyDescent="0.25">
      <c r="A131" s="1">
        <v>749</v>
      </c>
      <c r="B131" s="3">
        <v>40577</v>
      </c>
      <c r="C131" s="1">
        <v>1</v>
      </c>
      <c r="D131" s="1">
        <v>14</v>
      </c>
      <c r="E131" s="1" t="s">
        <v>27</v>
      </c>
      <c r="F131" s="1">
        <v>4</v>
      </c>
      <c r="G131" s="1">
        <v>1</v>
      </c>
      <c r="H131" s="1" t="str">
        <f t="shared" si="2"/>
        <v>Thursday</v>
      </c>
      <c r="I131" s="1" t="str" cm="1">
        <f t="array" ref="I131">_xlfn.IFS(dataset3[[#This Row],[Weather sit]]=1,"1 Clear",dataset3[[#This Row],[Weather sit]]=2,"2 Misty/Cloudy",dataset3[[#This Row],[Weather sit]]=3,"3 Light Snow/Rain",dataset3[[#This Row],[Weather sit]]=4,"4 Heavy Snow/Rain")</f>
        <v>1 Clear</v>
      </c>
      <c r="J131" s="7">
        <v>0.22</v>
      </c>
      <c r="K131" s="7">
        <v>0.19700000000000001</v>
      </c>
      <c r="L131" s="7">
        <v>0.37</v>
      </c>
      <c r="M131" s="7">
        <v>0.3881</v>
      </c>
      <c r="N131" s="1">
        <v>4</v>
      </c>
      <c r="O131" s="1">
        <v>43</v>
      </c>
      <c r="P131" s="1">
        <v>47</v>
      </c>
      <c r="Q131" s="1" t="str" cm="1">
        <f t="array" ref="Q131">_xlfn.IFS(dataset3[[#This Row],[Windspeed]]&lt;=0.1,"0.00 -0.10",dataset3[[#This Row],[Windspeed]]&lt;=0.2,"0.10-0.20",dataset3[[#This Row],[Windspeed]]&lt;=0.3,"0.20-0.30",dataset3[[#This Row],[Windspeed]]&lt;=0.4,"0.30-0.40",dataset3[[#This Row],[Windspeed]]&lt;=0.5,"0.40-0.50",dataset3[[#This Row],[Windspeed]]&lt;=0.6,"0.50-0.60")</f>
        <v>0.30-0.40</v>
      </c>
      <c r="R131" s="1" t="str" cm="1">
        <f t="array" ref="R13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132" spans="1:18" x14ac:dyDescent="0.25">
      <c r="A132" s="1">
        <v>750</v>
      </c>
      <c r="B132" s="3">
        <v>40577</v>
      </c>
      <c r="C132" s="1">
        <v>1</v>
      </c>
      <c r="D132" s="1">
        <v>15</v>
      </c>
      <c r="E132" s="1" t="s">
        <v>27</v>
      </c>
      <c r="F132" s="1">
        <v>4</v>
      </c>
      <c r="G132" s="1">
        <v>1</v>
      </c>
      <c r="H132" s="1" t="str">
        <f t="shared" si="2"/>
        <v>Thursday</v>
      </c>
      <c r="I132" s="1" t="str" cm="1">
        <f t="array" ref="I132">_xlfn.IFS(dataset3[[#This Row],[Weather sit]]=1,"1 Clear",dataset3[[#This Row],[Weather sit]]=2,"2 Misty/Cloudy",dataset3[[#This Row],[Weather sit]]=3,"3 Light Snow/Rain",dataset3[[#This Row],[Weather sit]]=4,"4 Heavy Snow/Rain")</f>
        <v>1 Clear</v>
      </c>
      <c r="J132" s="7">
        <v>0.22</v>
      </c>
      <c r="K132" s="7">
        <v>0.19700000000000001</v>
      </c>
      <c r="L132" s="7">
        <v>0.37</v>
      </c>
      <c r="M132" s="7">
        <v>0.32840000000000003</v>
      </c>
      <c r="N132" s="1">
        <v>4</v>
      </c>
      <c r="O132" s="1">
        <v>56</v>
      </c>
      <c r="P132" s="1">
        <v>60</v>
      </c>
      <c r="Q132" s="1" t="str" cm="1">
        <f t="array" ref="Q132">_xlfn.IFS(dataset3[[#This Row],[Windspeed]]&lt;=0.1,"0.00 -0.10",dataset3[[#This Row],[Windspeed]]&lt;=0.2,"0.10-0.20",dataset3[[#This Row],[Windspeed]]&lt;=0.3,"0.20-0.30",dataset3[[#This Row],[Windspeed]]&lt;=0.4,"0.30-0.40",dataset3[[#This Row],[Windspeed]]&lt;=0.5,"0.40-0.50",dataset3[[#This Row],[Windspeed]]&lt;=0.6,"0.50-0.60")</f>
        <v>0.30-0.40</v>
      </c>
      <c r="R132" s="1" t="str" cm="1">
        <f t="array" ref="R13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133" spans="1:18" x14ac:dyDescent="0.25">
      <c r="A133" s="1">
        <v>751</v>
      </c>
      <c r="B133" s="3">
        <v>40577</v>
      </c>
      <c r="C133" s="1">
        <v>1</v>
      </c>
      <c r="D133" s="1">
        <v>16</v>
      </c>
      <c r="E133" s="1" t="s">
        <v>27</v>
      </c>
      <c r="F133" s="1">
        <v>4</v>
      </c>
      <c r="G133" s="1">
        <v>1</v>
      </c>
      <c r="H133" s="1" t="str">
        <f t="shared" si="2"/>
        <v>Thursday</v>
      </c>
      <c r="I133" s="1" t="str" cm="1">
        <f t="array" ref="I133">_xlfn.IFS(dataset3[[#This Row],[Weather sit]]=1,"1 Clear",dataset3[[#This Row],[Weather sit]]=2,"2 Misty/Cloudy",dataset3[[#This Row],[Weather sit]]=3,"3 Light Snow/Rain",dataset3[[#This Row],[Weather sit]]=4,"4 Heavy Snow/Rain")</f>
        <v>1 Clear</v>
      </c>
      <c r="J133" s="7">
        <v>0.22</v>
      </c>
      <c r="K133" s="7">
        <v>0.21210000000000001</v>
      </c>
      <c r="L133" s="7">
        <v>0.37</v>
      </c>
      <c r="M133" s="7">
        <v>0.25369999999999998</v>
      </c>
      <c r="N133" s="1">
        <v>5</v>
      </c>
      <c r="O133" s="1">
        <v>73</v>
      </c>
      <c r="P133" s="1">
        <v>78</v>
      </c>
      <c r="Q133" s="1" t="str" cm="1">
        <f t="array" ref="Q133">_xlfn.IFS(dataset3[[#This Row],[Windspeed]]&lt;=0.1,"0.00 -0.10",dataset3[[#This Row],[Windspeed]]&lt;=0.2,"0.10-0.20",dataset3[[#This Row],[Windspeed]]&lt;=0.3,"0.20-0.30",dataset3[[#This Row],[Windspeed]]&lt;=0.4,"0.30-0.40",dataset3[[#This Row],[Windspeed]]&lt;=0.5,"0.40-0.50",dataset3[[#This Row],[Windspeed]]&lt;=0.6,"0.50-0.60")</f>
        <v>0.20-0.30</v>
      </c>
      <c r="R133" s="1" t="str" cm="1">
        <f t="array" ref="R13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134" spans="1:18" x14ac:dyDescent="0.25">
      <c r="A134" s="1">
        <v>752</v>
      </c>
      <c r="B134" s="3">
        <v>40577</v>
      </c>
      <c r="C134" s="1">
        <v>1</v>
      </c>
      <c r="D134" s="1">
        <v>17</v>
      </c>
      <c r="E134" s="1" t="s">
        <v>27</v>
      </c>
      <c r="F134" s="1">
        <v>4</v>
      </c>
      <c r="G134" s="1">
        <v>1</v>
      </c>
      <c r="H134" s="1" t="str">
        <f t="shared" si="2"/>
        <v>Thursday</v>
      </c>
      <c r="I134" s="1" t="str" cm="1">
        <f t="array" ref="I134">_xlfn.IFS(dataset3[[#This Row],[Weather sit]]=1,"1 Clear",dataset3[[#This Row],[Weather sit]]=2,"2 Misty/Cloudy",dataset3[[#This Row],[Weather sit]]=3,"3 Light Snow/Rain",dataset3[[#This Row],[Weather sit]]=4,"4 Heavy Snow/Rain")</f>
        <v>1 Clear</v>
      </c>
      <c r="J134" s="7">
        <v>0.2</v>
      </c>
      <c r="K134" s="7">
        <v>0.19700000000000001</v>
      </c>
      <c r="L134" s="7">
        <v>0.4</v>
      </c>
      <c r="M134" s="7">
        <v>0.19400000000000001</v>
      </c>
      <c r="N134" s="1">
        <v>5</v>
      </c>
      <c r="O134" s="1">
        <v>170</v>
      </c>
      <c r="P134" s="1">
        <v>175</v>
      </c>
      <c r="Q134" s="1" t="str" cm="1">
        <f t="array" ref="Q134">_xlfn.IFS(dataset3[[#This Row],[Windspeed]]&lt;=0.1,"0.00 -0.10",dataset3[[#This Row],[Windspeed]]&lt;=0.2,"0.10-0.20",dataset3[[#This Row],[Windspeed]]&lt;=0.3,"0.20-0.30",dataset3[[#This Row],[Windspeed]]&lt;=0.4,"0.30-0.40",dataset3[[#This Row],[Windspeed]]&lt;=0.5,"0.40-0.50",dataset3[[#This Row],[Windspeed]]&lt;=0.6,"0.50-0.60")</f>
        <v>0.10-0.20</v>
      </c>
      <c r="R134" s="1" t="str" cm="1">
        <f t="array" ref="R13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135" spans="1:18" x14ac:dyDescent="0.25">
      <c r="A135" s="1">
        <v>753</v>
      </c>
      <c r="B135" s="3">
        <v>40577</v>
      </c>
      <c r="C135" s="1">
        <v>1</v>
      </c>
      <c r="D135" s="1">
        <v>18</v>
      </c>
      <c r="E135" s="1" t="s">
        <v>27</v>
      </c>
      <c r="F135" s="1">
        <v>4</v>
      </c>
      <c r="G135" s="1">
        <v>1</v>
      </c>
      <c r="H135" s="1" t="str">
        <f t="shared" si="2"/>
        <v>Thursday</v>
      </c>
      <c r="I135" s="1" t="str" cm="1">
        <f t="array" ref="I135">_xlfn.IFS(dataset3[[#This Row],[Weather sit]]=1,"1 Clear",dataset3[[#This Row],[Weather sit]]=2,"2 Misty/Cloudy",dataset3[[#This Row],[Weather sit]]=3,"3 Light Snow/Rain",dataset3[[#This Row],[Weather sit]]=4,"4 Heavy Snow/Rain")</f>
        <v>1 Clear</v>
      </c>
      <c r="J135" s="7">
        <v>0.2</v>
      </c>
      <c r="K135" s="7">
        <v>0.21210000000000001</v>
      </c>
      <c r="L135" s="7">
        <v>0.4</v>
      </c>
      <c r="M135" s="7">
        <v>0.16420000000000001</v>
      </c>
      <c r="N135" s="1">
        <v>2</v>
      </c>
      <c r="O135" s="1">
        <v>145</v>
      </c>
      <c r="P135" s="1">
        <v>147</v>
      </c>
      <c r="Q135" s="1" t="str" cm="1">
        <f t="array" ref="Q135">_xlfn.IFS(dataset3[[#This Row],[Windspeed]]&lt;=0.1,"0.00 -0.10",dataset3[[#This Row],[Windspeed]]&lt;=0.2,"0.10-0.20",dataset3[[#This Row],[Windspeed]]&lt;=0.3,"0.20-0.30",dataset3[[#This Row],[Windspeed]]&lt;=0.4,"0.30-0.40",dataset3[[#This Row],[Windspeed]]&lt;=0.5,"0.40-0.50",dataset3[[#This Row],[Windspeed]]&lt;=0.6,"0.50-0.60")</f>
        <v>0.10-0.20</v>
      </c>
      <c r="R135" s="1" t="str" cm="1">
        <f t="array" ref="R13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136" spans="1:18" x14ac:dyDescent="0.25">
      <c r="A136" s="1">
        <v>754</v>
      </c>
      <c r="B136" s="3">
        <v>40577</v>
      </c>
      <c r="C136" s="1">
        <v>1</v>
      </c>
      <c r="D136" s="1">
        <v>19</v>
      </c>
      <c r="E136" s="1" t="s">
        <v>27</v>
      </c>
      <c r="F136" s="1">
        <v>4</v>
      </c>
      <c r="G136" s="1">
        <v>1</v>
      </c>
      <c r="H136" s="1" t="str">
        <f t="shared" si="2"/>
        <v>Thursday</v>
      </c>
      <c r="I136" s="1" t="str" cm="1">
        <f t="array" ref="I136">_xlfn.IFS(dataset3[[#This Row],[Weather sit]]=1,"1 Clear",dataset3[[#This Row],[Weather sit]]=2,"2 Misty/Cloudy",dataset3[[#This Row],[Weather sit]]=3,"3 Light Snow/Rain",dataset3[[#This Row],[Weather sit]]=4,"4 Heavy Snow/Rain")</f>
        <v>1 Clear</v>
      </c>
      <c r="J136" s="7">
        <v>0.2</v>
      </c>
      <c r="K136" s="7">
        <v>0.2576</v>
      </c>
      <c r="L136" s="7">
        <v>0.4</v>
      </c>
      <c r="M136" s="7">
        <v>0</v>
      </c>
      <c r="N136" s="1">
        <v>4</v>
      </c>
      <c r="O136" s="1">
        <v>92</v>
      </c>
      <c r="P136" s="1">
        <v>96</v>
      </c>
      <c r="Q136" s="1" t="str" cm="1">
        <f t="array" ref="Q136">_xlfn.IFS(dataset3[[#This Row],[Windspeed]]&lt;=0.1,"0.00 -0.10",dataset3[[#This Row],[Windspeed]]&lt;=0.2,"0.10-0.20",dataset3[[#This Row],[Windspeed]]&lt;=0.3,"0.20-0.30",dataset3[[#This Row],[Windspeed]]&lt;=0.4,"0.30-0.40",dataset3[[#This Row],[Windspeed]]&lt;=0.5,"0.40-0.50",dataset3[[#This Row],[Windspeed]]&lt;=0.6,"0.50-0.60")</f>
        <v>0.00 -0.10</v>
      </c>
      <c r="R136" s="1" t="str" cm="1">
        <f t="array" ref="R13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137" spans="1:18" x14ac:dyDescent="0.25">
      <c r="A137" s="1">
        <v>755</v>
      </c>
      <c r="B137" s="3">
        <v>40577</v>
      </c>
      <c r="C137" s="1">
        <v>1</v>
      </c>
      <c r="D137" s="1">
        <v>20</v>
      </c>
      <c r="E137" s="1" t="s">
        <v>27</v>
      </c>
      <c r="F137" s="1">
        <v>4</v>
      </c>
      <c r="G137" s="1">
        <v>1</v>
      </c>
      <c r="H137" s="1" t="str">
        <f t="shared" si="2"/>
        <v>Thursday</v>
      </c>
      <c r="I137" s="1" t="str" cm="1">
        <f t="array" ref="I137">_xlfn.IFS(dataset3[[#This Row],[Weather sit]]=1,"1 Clear",dataset3[[#This Row],[Weather sit]]=2,"2 Misty/Cloudy",dataset3[[#This Row],[Weather sit]]=3,"3 Light Snow/Rain",dataset3[[#This Row],[Weather sit]]=4,"4 Heavy Snow/Rain")</f>
        <v>1 Clear</v>
      </c>
      <c r="J137" s="7">
        <v>0.2</v>
      </c>
      <c r="K137" s="7">
        <v>0.2273</v>
      </c>
      <c r="L137" s="7">
        <v>0.47</v>
      </c>
      <c r="M137" s="7">
        <v>8.9599999999999999E-2</v>
      </c>
      <c r="N137" s="1">
        <v>1</v>
      </c>
      <c r="O137" s="1">
        <v>108</v>
      </c>
      <c r="P137" s="1">
        <v>109</v>
      </c>
      <c r="Q137" s="1" t="str" cm="1">
        <f t="array" ref="Q137">_xlfn.IFS(dataset3[[#This Row],[Windspeed]]&lt;=0.1,"0.00 -0.10",dataset3[[#This Row],[Windspeed]]&lt;=0.2,"0.10-0.20",dataset3[[#This Row],[Windspeed]]&lt;=0.3,"0.20-0.30",dataset3[[#This Row],[Windspeed]]&lt;=0.4,"0.30-0.40",dataset3[[#This Row],[Windspeed]]&lt;=0.5,"0.40-0.50",dataset3[[#This Row],[Windspeed]]&lt;=0.6,"0.50-0.60")</f>
        <v>0.00 -0.10</v>
      </c>
      <c r="R137" s="1" t="str" cm="1">
        <f t="array" ref="R13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38" spans="1:18" x14ac:dyDescent="0.25">
      <c r="A138" s="1">
        <v>756</v>
      </c>
      <c r="B138" s="3">
        <v>40577</v>
      </c>
      <c r="C138" s="1">
        <v>1</v>
      </c>
      <c r="D138" s="1">
        <v>21</v>
      </c>
      <c r="E138" s="1" t="s">
        <v>27</v>
      </c>
      <c r="F138" s="1">
        <v>4</v>
      </c>
      <c r="G138" s="1">
        <v>1</v>
      </c>
      <c r="H138" s="1" t="str">
        <f t="shared" si="2"/>
        <v>Thursday</v>
      </c>
      <c r="I138" s="1" t="str" cm="1">
        <f t="array" ref="I138">_xlfn.IFS(dataset3[[#This Row],[Weather sit]]=1,"1 Clear",dataset3[[#This Row],[Weather sit]]=2,"2 Misty/Cloudy",dataset3[[#This Row],[Weather sit]]=3,"3 Light Snow/Rain",dataset3[[#This Row],[Weather sit]]=4,"4 Heavy Snow/Rain")</f>
        <v>1 Clear</v>
      </c>
      <c r="J138" s="7">
        <v>0.18</v>
      </c>
      <c r="K138" s="7">
        <v>0.21210000000000001</v>
      </c>
      <c r="L138" s="7">
        <v>0.55000000000000004</v>
      </c>
      <c r="M138" s="7">
        <v>0.1045</v>
      </c>
      <c r="N138" s="1">
        <v>1</v>
      </c>
      <c r="O138" s="1">
        <v>53</v>
      </c>
      <c r="P138" s="1">
        <v>54</v>
      </c>
      <c r="Q138" s="1" t="str" cm="1">
        <f t="array" ref="Q138">_xlfn.IFS(dataset3[[#This Row],[Windspeed]]&lt;=0.1,"0.00 -0.10",dataset3[[#This Row],[Windspeed]]&lt;=0.2,"0.10-0.20",dataset3[[#This Row],[Windspeed]]&lt;=0.3,"0.20-0.30",dataset3[[#This Row],[Windspeed]]&lt;=0.4,"0.30-0.40",dataset3[[#This Row],[Windspeed]]&lt;=0.5,"0.40-0.50",dataset3[[#This Row],[Windspeed]]&lt;=0.6,"0.50-0.60")</f>
        <v>0.10-0.20</v>
      </c>
      <c r="R138" s="1" t="str" cm="1">
        <f t="array" ref="R13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39" spans="1:18" x14ac:dyDescent="0.25">
      <c r="A139" s="1">
        <v>757</v>
      </c>
      <c r="B139" s="3">
        <v>40577</v>
      </c>
      <c r="C139" s="1">
        <v>1</v>
      </c>
      <c r="D139" s="1">
        <v>22</v>
      </c>
      <c r="E139" s="1" t="s">
        <v>27</v>
      </c>
      <c r="F139" s="1">
        <v>4</v>
      </c>
      <c r="G139" s="1">
        <v>1</v>
      </c>
      <c r="H139" s="1" t="str">
        <f t="shared" si="2"/>
        <v>Thursday</v>
      </c>
      <c r="I139" s="1" t="str" cm="1">
        <f t="array" ref="I139">_xlfn.IFS(dataset3[[#This Row],[Weather sit]]=1,"1 Clear",dataset3[[#This Row],[Weather sit]]=2,"2 Misty/Cloudy",dataset3[[#This Row],[Weather sit]]=3,"3 Light Snow/Rain",dataset3[[#This Row],[Weather sit]]=4,"4 Heavy Snow/Rain")</f>
        <v>1 Clear</v>
      </c>
      <c r="J139" s="7">
        <v>0.18</v>
      </c>
      <c r="K139" s="7">
        <v>0.21210000000000001</v>
      </c>
      <c r="L139" s="7">
        <v>0.51</v>
      </c>
      <c r="M139" s="7">
        <v>8.9599999999999999E-2</v>
      </c>
      <c r="N139" s="1">
        <v>2</v>
      </c>
      <c r="O139" s="1">
        <v>39</v>
      </c>
      <c r="P139" s="1">
        <v>41</v>
      </c>
      <c r="Q139" s="1" t="str" cm="1">
        <f t="array" ref="Q139">_xlfn.IFS(dataset3[[#This Row],[Windspeed]]&lt;=0.1,"0.00 -0.10",dataset3[[#This Row],[Windspeed]]&lt;=0.2,"0.10-0.20",dataset3[[#This Row],[Windspeed]]&lt;=0.3,"0.20-0.30",dataset3[[#This Row],[Windspeed]]&lt;=0.4,"0.30-0.40",dataset3[[#This Row],[Windspeed]]&lt;=0.5,"0.40-0.50",dataset3[[#This Row],[Windspeed]]&lt;=0.6,"0.50-0.60")</f>
        <v>0.00 -0.10</v>
      </c>
      <c r="R139" s="1" t="str" cm="1">
        <f t="array" ref="R13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40" spans="1:18" x14ac:dyDescent="0.25">
      <c r="A140" s="1">
        <v>758</v>
      </c>
      <c r="B140" s="3">
        <v>40577</v>
      </c>
      <c r="C140" s="1">
        <v>1</v>
      </c>
      <c r="D140" s="1">
        <v>23</v>
      </c>
      <c r="E140" s="1" t="s">
        <v>27</v>
      </c>
      <c r="F140" s="1">
        <v>4</v>
      </c>
      <c r="G140" s="1">
        <v>1</v>
      </c>
      <c r="H140" s="1" t="str">
        <f t="shared" si="2"/>
        <v>Thursday</v>
      </c>
      <c r="I140" s="1" t="str" cm="1">
        <f t="array" ref="I140">_xlfn.IFS(dataset3[[#This Row],[Weather sit]]=1,"1 Clear",dataset3[[#This Row],[Weather sit]]=2,"2 Misty/Cloudy",dataset3[[#This Row],[Weather sit]]=3,"3 Light Snow/Rain",dataset3[[#This Row],[Weather sit]]=4,"4 Heavy Snow/Rain")</f>
        <v>1 Clear</v>
      </c>
      <c r="J140" s="7">
        <v>0.2</v>
      </c>
      <c r="K140" s="7">
        <v>0.2273</v>
      </c>
      <c r="L140" s="7">
        <v>0.47</v>
      </c>
      <c r="M140" s="7">
        <v>0.1045</v>
      </c>
      <c r="N140" s="1">
        <v>4</v>
      </c>
      <c r="O140" s="1">
        <v>34</v>
      </c>
      <c r="P140" s="1">
        <v>38</v>
      </c>
      <c r="Q140" s="1" t="str" cm="1">
        <f t="array" ref="Q140">_xlfn.IFS(dataset3[[#This Row],[Windspeed]]&lt;=0.1,"0.00 -0.10",dataset3[[#This Row],[Windspeed]]&lt;=0.2,"0.10-0.20",dataset3[[#This Row],[Windspeed]]&lt;=0.3,"0.20-0.30",dataset3[[#This Row],[Windspeed]]&lt;=0.4,"0.30-0.40",dataset3[[#This Row],[Windspeed]]&lt;=0.5,"0.40-0.50",dataset3[[#This Row],[Windspeed]]&lt;=0.6,"0.50-0.60")</f>
        <v>0.10-0.20</v>
      </c>
      <c r="R140" s="1" t="str" cm="1">
        <f t="array" ref="R14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41" spans="1:18" x14ac:dyDescent="0.25">
      <c r="A141" s="1">
        <v>759</v>
      </c>
      <c r="B141" s="3">
        <v>40578</v>
      </c>
      <c r="C141" s="1">
        <v>1</v>
      </c>
      <c r="D141" s="1">
        <v>0</v>
      </c>
      <c r="E141" s="1" t="s">
        <v>27</v>
      </c>
      <c r="F141" s="1">
        <v>5</v>
      </c>
      <c r="G141" s="1">
        <v>2</v>
      </c>
      <c r="H141" s="1" t="str">
        <f t="shared" si="2"/>
        <v>Friday</v>
      </c>
      <c r="I141" s="1" t="str" cm="1">
        <f t="array" ref="I141">_xlfn.IFS(dataset3[[#This Row],[Weather sit]]=1,"1 Clear",dataset3[[#This Row],[Weather sit]]=2,"2 Misty/Cloudy",dataset3[[#This Row],[Weather sit]]=3,"3 Light Snow/Rain",dataset3[[#This Row],[Weather sit]]=4,"4 Heavy Snow/Rain")</f>
        <v>2 Misty/Cloudy</v>
      </c>
      <c r="J141" s="7">
        <v>0.2</v>
      </c>
      <c r="K141" s="7">
        <v>0.2576</v>
      </c>
      <c r="L141" s="7">
        <v>0.44</v>
      </c>
      <c r="M141" s="7">
        <v>0</v>
      </c>
      <c r="N141" s="1">
        <v>3</v>
      </c>
      <c r="O141" s="1">
        <v>10</v>
      </c>
      <c r="P141" s="1">
        <v>13</v>
      </c>
      <c r="Q141" s="1" t="str" cm="1">
        <f t="array" ref="Q141">_xlfn.IFS(dataset3[[#This Row],[Windspeed]]&lt;=0.1,"0.00 -0.10",dataset3[[#This Row],[Windspeed]]&lt;=0.2,"0.10-0.20",dataset3[[#This Row],[Windspeed]]&lt;=0.3,"0.20-0.30",dataset3[[#This Row],[Windspeed]]&lt;=0.4,"0.30-0.40",dataset3[[#This Row],[Windspeed]]&lt;=0.5,"0.40-0.50",dataset3[[#This Row],[Windspeed]]&lt;=0.6,"0.50-0.60")</f>
        <v>0.00 -0.10</v>
      </c>
      <c r="R141" s="1" t="str" cm="1">
        <f t="array" ref="R14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42" spans="1:18" x14ac:dyDescent="0.25">
      <c r="A142" s="1">
        <v>760</v>
      </c>
      <c r="B142" s="3">
        <v>40578</v>
      </c>
      <c r="C142" s="1">
        <v>1</v>
      </c>
      <c r="D142" s="1">
        <v>1</v>
      </c>
      <c r="E142" s="1" t="s">
        <v>27</v>
      </c>
      <c r="F142" s="1">
        <v>5</v>
      </c>
      <c r="G142" s="1">
        <v>2</v>
      </c>
      <c r="H142" s="1" t="str">
        <f t="shared" si="2"/>
        <v>Friday</v>
      </c>
      <c r="I142" s="1" t="str" cm="1">
        <f t="array" ref="I142">_xlfn.IFS(dataset3[[#This Row],[Weather sit]]=1,"1 Clear",dataset3[[#This Row],[Weather sit]]=2,"2 Misty/Cloudy",dataset3[[#This Row],[Weather sit]]=3,"3 Light Snow/Rain",dataset3[[#This Row],[Weather sit]]=4,"4 Heavy Snow/Rain")</f>
        <v>2 Misty/Cloudy</v>
      </c>
      <c r="J142" s="7">
        <v>0.16</v>
      </c>
      <c r="K142" s="7">
        <v>0.2273</v>
      </c>
      <c r="L142" s="7">
        <v>0.59</v>
      </c>
      <c r="M142" s="7">
        <v>0</v>
      </c>
      <c r="N142" s="1">
        <v>0</v>
      </c>
      <c r="O142" s="1">
        <v>7</v>
      </c>
      <c r="P142" s="1">
        <v>7</v>
      </c>
      <c r="Q142" s="1" t="str" cm="1">
        <f t="array" ref="Q142">_xlfn.IFS(dataset3[[#This Row],[Windspeed]]&lt;=0.1,"0.00 -0.10",dataset3[[#This Row],[Windspeed]]&lt;=0.2,"0.10-0.20",dataset3[[#This Row],[Windspeed]]&lt;=0.3,"0.20-0.30",dataset3[[#This Row],[Windspeed]]&lt;=0.4,"0.30-0.40",dataset3[[#This Row],[Windspeed]]&lt;=0.5,"0.40-0.50",dataset3[[#This Row],[Windspeed]]&lt;=0.6,"0.50-0.60")</f>
        <v>0.00 -0.10</v>
      </c>
      <c r="R142" s="1" t="str" cm="1">
        <f t="array" ref="R14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43" spans="1:18" x14ac:dyDescent="0.25">
      <c r="A143" s="1">
        <v>761</v>
      </c>
      <c r="B143" s="3">
        <v>40578</v>
      </c>
      <c r="C143" s="1">
        <v>1</v>
      </c>
      <c r="D143" s="1">
        <v>2</v>
      </c>
      <c r="E143" s="1" t="s">
        <v>27</v>
      </c>
      <c r="F143" s="1">
        <v>5</v>
      </c>
      <c r="G143" s="1">
        <v>2</v>
      </c>
      <c r="H143" s="1" t="str">
        <f t="shared" si="2"/>
        <v>Friday</v>
      </c>
      <c r="I143" s="1" t="str" cm="1">
        <f t="array" ref="I143">_xlfn.IFS(dataset3[[#This Row],[Weather sit]]=1,"1 Clear",dataset3[[#This Row],[Weather sit]]=2,"2 Misty/Cloudy",dataset3[[#This Row],[Weather sit]]=3,"3 Light Snow/Rain",dataset3[[#This Row],[Weather sit]]=4,"4 Heavy Snow/Rain")</f>
        <v>2 Misty/Cloudy</v>
      </c>
      <c r="J143" s="7">
        <v>0.14000000000000001</v>
      </c>
      <c r="K143" s="7">
        <v>0.16669999999999999</v>
      </c>
      <c r="L143" s="7">
        <v>0.63</v>
      </c>
      <c r="M143" s="7">
        <v>0.1045</v>
      </c>
      <c r="N143" s="1">
        <v>0</v>
      </c>
      <c r="O143" s="1">
        <v>1</v>
      </c>
      <c r="P143" s="1">
        <v>1</v>
      </c>
      <c r="Q143" s="1" t="str" cm="1">
        <f t="array" ref="Q143">_xlfn.IFS(dataset3[[#This Row],[Windspeed]]&lt;=0.1,"0.00 -0.10",dataset3[[#This Row],[Windspeed]]&lt;=0.2,"0.10-0.20",dataset3[[#This Row],[Windspeed]]&lt;=0.3,"0.20-0.30",dataset3[[#This Row],[Windspeed]]&lt;=0.4,"0.30-0.40",dataset3[[#This Row],[Windspeed]]&lt;=0.5,"0.40-0.50",dataset3[[#This Row],[Windspeed]]&lt;=0.6,"0.50-0.60")</f>
        <v>0.10-0.20</v>
      </c>
      <c r="R143" s="1" t="str" cm="1">
        <f t="array" ref="R14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44" spans="1:18" x14ac:dyDescent="0.25">
      <c r="A144" s="1">
        <v>762</v>
      </c>
      <c r="B144" s="3">
        <v>40578</v>
      </c>
      <c r="C144" s="1">
        <v>1</v>
      </c>
      <c r="D144" s="1">
        <v>3</v>
      </c>
      <c r="E144" s="1" t="s">
        <v>27</v>
      </c>
      <c r="F144" s="1">
        <v>5</v>
      </c>
      <c r="G144" s="1">
        <v>2</v>
      </c>
      <c r="H144" s="1" t="str">
        <f t="shared" si="2"/>
        <v>Friday</v>
      </c>
      <c r="I144" s="1" t="str" cm="1">
        <f t="array" ref="I144">_xlfn.IFS(dataset3[[#This Row],[Weather sit]]=1,"1 Clear",dataset3[[#This Row],[Weather sit]]=2,"2 Misty/Cloudy",dataset3[[#This Row],[Weather sit]]=3,"3 Light Snow/Rain",dataset3[[#This Row],[Weather sit]]=4,"4 Heavy Snow/Rain")</f>
        <v>2 Misty/Cloudy</v>
      </c>
      <c r="J144" s="7">
        <v>0.14000000000000001</v>
      </c>
      <c r="K144" s="7">
        <v>0.16669999999999999</v>
      </c>
      <c r="L144" s="7">
        <v>0.63</v>
      </c>
      <c r="M144" s="7">
        <v>0.1045</v>
      </c>
      <c r="N144" s="1">
        <v>0</v>
      </c>
      <c r="O144" s="1">
        <v>1</v>
      </c>
      <c r="P144" s="1">
        <v>1</v>
      </c>
      <c r="Q144" s="1" t="str" cm="1">
        <f t="array" ref="Q144">_xlfn.IFS(dataset3[[#This Row],[Windspeed]]&lt;=0.1,"0.00 -0.10",dataset3[[#This Row],[Windspeed]]&lt;=0.2,"0.10-0.20",dataset3[[#This Row],[Windspeed]]&lt;=0.3,"0.20-0.30",dataset3[[#This Row],[Windspeed]]&lt;=0.4,"0.30-0.40",dataset3[[#This Row],[Windspeed]]&lt;=0.5,"0.40-0.50",dataset3[[#This Row],[Windspeed]]&lt;=0.6,"0.50-0.60")</f>
        <v>0.10-0.20</v>
      </c>
      <c r="R144" s="1" t="str" cm="1">
        <f t="array" ref="R14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45" spans="1:18" x14ac:dyDescent="0.25">
      <c r="A145" s="1">
        <v>763</v>
      </c>
      <c r="B145" s="3">
        <v>40578</v>
      </c>
      <c r="C145" s="1">
        <v>1</v>
      </c>
      <c r="D145" s="1">
        <v>5</v>
      </c>
      <c r="E145" s="1" t="s">
        <v>27</v>
      </c>
      <c r="F145" s="1">
        <v>5</v>
      </c>
      <c r="G145" s="1">
        <v>2</v>
      </c>
      <c r="H145" s="1" t="str">
        <f t="shared" si="2"/>
        <v>Friday</v>
      </c>
      <c r="I145" s="1" t="str" cm="1">
        <f t="array" ref="I145">_xlfn.IFS(dataset3[[#This Row],[Weather sit]]=1,"1 Clear",dataset3[[#This Row],[Weather sit]]=2,"2 Misty/Cloudy",dataset3[[#This Row],[Weather sit]]=3,"3 Light Snow/Rain",dataset3[[#This Row],[Weather sit]]=4,"4 Heavy Snow/Rain")</f>
        <v>2 Misty/Cloudy</v>
      </c>
      <c r="J145" s="7">
        <v>0.14000000000000001</v>
      </c>
      <c r="K145" s="7">
        <v>0.1515</v>
      </c>
      <c r="L145" s="7">
        <v>0.63</v>
      </c>
      <c r="M145" s="7">
        <v>0.1343</v>
      </c>
      <c r="N145" s="1">
        <v>0</v>
      </c>
      <c r="O145" s="1">
        <v>7</v>
      </c>
      <c r="P145" s="1">
        <v>7</v>
      </c>
      <c r="Q145" s="1" t="str" cm="1">
        <f t="array" ref="Q145">_xlfn.IFS(dataset3[[#This Row],[Windspeed]]&lt;=0.1,"0.00 -0.10",dataset3[[#This Row],[Windspeed]]&lt;=0.2,"0.10-0.20",dataset3[[#This Row],[Windspeed]]&lt;=0.3,"0.20-0.30",dataset3[[#This Row],[Windspeed]]&lt;=0.4,"0.30-0.40",dataset3[[#This Row],[Windspeed]]&lt;=0.5,"0.40-0.50",dataset3[[#This Row],[Windspeed]]&lt;=0.6,"0.50-0.60")</f>
        <v>0.10-0.20</v>
      </c>
      <c r="R145" s="1" t="str" cm="1">
        <f t="array" ref="R14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46" spans="1:18" x14ac:dyDescent="0.25">
      <c r="A146" s="1">
        <v>764</v>
      </c>
      <c r="B146" s="3">
        <v>40578</v>
      </c>
      <c r="C146" s="1">
        <v>1</v>
      </c>
      <c r="D146" s="1">
        <v>6</v>
      </c>
      <c r="E146" s="1" t="s">
        <v>27</v>
      </c>
      <c r="F146" s="1">
        <v>5</v>
      </c>
      <c r="G146" s="1">
        <v>2</v>
      </c>
      <c r="H146" s="1" t="str">
        <f t="shared" si="2"/>
        <v>Friday</v>
      </c>
      <c r="I146" s="1" t="str" cm="1">
        <f t="array" ref="I146">_xlfn.IFS(dataset3[[#This Row],[Weather sit]]=1,"1 Clear",dataset3[[#This Row],[Weather sit]]=2,"2 Misty/Cloudy",dataset3[[#This Row],[Weather sit]]=3,"3 Light Snow/Rain",dataset3[[#This Row],[Weather sit]]=4,"4 Heavy Snow/Rain")</f>
        <v>2 Misty/Cloudy</v>
      </c>
      <c r="J146" s="7">
        <v>0.16</v>
      </c>
      <c r="K146" s="7">
        <v>0.2273</v>
      </c>
      <c r="L146" s="7">
        <v>0.55000000000000004</v>
      </c>
      <c r="M146" s="7">
        <v>0</v>
      </c>
      <c r="N146" s="1">
        <v>2</v>
      </c>
      <c r="O146" s="1">
        <v>26</v>
      </c>
      <c r="P146" s="1">
        <v>28</v>
      </c>
      <c r="Q146" s="1" t="str" cm="1">
        <f t="array" ref="Q146">_xlfn.IFS(dataset3[[#This Row],[Windspeed]]&lt;=0.1,"0.00 -0.10",dataset3[[#This Row],[Windspeed]]&lt;=0.2,"0.10-0.20",dataset3[[#This Row],[Windspeed]]&lt;=0.3,"0.20-0.30",dataset3[[#This Row],[Windspeed]]&lt;=0.4,"0.30-0.40",dataset3[[#This Row],[Windspeed]]&lt;=0.5,"0.40-0.50",dataset3[[#This Row],[Windspeed]]&lt;=0.6,"0.50-0.60")</f>
        <v>0.00 -0.10</v>
      </c>
      <c r="R146" s="1" t="str" cm="1">
        <f t="array" ref="R14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47" spans="1:18" x14ac:dyDescent="0.25">
      <c r="A147" s="1">
        <v>765</v>
      </c>
      <c r="B147" s="3">
        <v>40578</v>
      </c>
      <c r="C147" s="1">
        <v>1</v>
      </c>
      <c r="D147" s="1">
        <v>7</v>
      </c>
      <c r="E147" s="1" t="s">
        <v>27</v>
      </c>
      <c r="F147" s="1">
        <v>5</v>
      </c>
      <c r="G147" s="1">
        <v>1</v>
      </c>
      <c r="H147" s="1" t="str">
        <f t="shared" si="2"/>
        <v>Friday</v>
      </c>
      <c r="I147" s="1" t="str" cm="1">
        <f t="array" ref="I147">_xlfn.IFS(dataset3[[#This Row],[Weather sit]]=1,"1 Clear",dataset3[[#This Row],[Weather sit]]=2,"2 Misty/Cloudy",dataset3[[#This Row],[Weather sit]]=3,"3 Light Snow/Rain",dataset3[[#This Row],[Weather sit]]=4,"4 Heavy Snow/Rain")</f>
        <v>1 Clear</v>
      </c>
      <c r="J147" s="7">
        <v>0.14000000000000001</v>
      </c>
      <c r="K147" s="7">
        <v>0.21210000000000001</v>
      </c>
      <c r="L147" s="7">
        <v>0.59</v>
      </c>
      <c r="M147" s="7">
        <v>0</v>
      </c>
      <c r="N147" s="1">
        <v>0</v>
      </c>
      <c r="O147" s="1">
        <v>87</v>
      </c>
      <c r="P147" s="1">
        <v>87</v>
      </c>
      <c r="Q147" s="1" t="str" cm="1">
        <f t="array" ref="Q147">_xlfn.IFS(dataset3[[#This Row],[Windspeed]]&lt;=0.1,"0.00 -0.10",dataset3[[#This Row],[Windspeed]]&lt;=0.2,"0.10-0.20",dataset3[[#This Row],[Windspeed]]&lt;=0.3,"0.20-0.30",dataset3[[#This Row],[Windspeed]]&lt;=0.4,"0.30-0.40",dataset3[[#This Row],[Windspeed]]&lt;=0.5,"0.40-0.50",dataset3[[#This Row],[Windspeed]]&lt;=0.6,"0.50-0.60")</f>
        <v>0.00 -0.10</v>
      </c>
      <c r="R147" s="1" t="str" cm="1">
        <f t="array" ref="R14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48" spans="1:18" x14ac:dyDescent="0.25">
      <c r="A148" s="1">
        <v>766</v>
      </c>
      <c r="B148" s="3">
        <v>40578</v>
      </c>
      <c r="C148" s="1">
        <v>1</v>
      </c>
      <c r="D148" s="1">
        <v>8</v>
      </c>
      <c r="E148" s="1" t="s">
        <v>27</v>
      </c>
      <c r="F148" s="1">
        <v>5</v>
      </c>
      <c r="G148" s="1">
        <v>1</v>
      </c>
      <c r="H148" s="1" t="str">
        <f t="shared" si="2"/>
        <v>Friday</v>
      </c>
      <c r="I148" s="1" t="str" cm="1">
        <f t="array" ref="I148">_xlfn.IFS(dataset3[[#This Row],[Weather sit]]=1,"1 Clear",dataset3[[#This Row],[Weather sit]]=2,"2 Misty/Cloudy",dataset3[[#This Row],[Weather sit]]=3,"3 Light Snow/Rain",dataset3[[#This Row],[Weather sit]]=4,"4 Heavy Snow/Rain")</f>
        <v>1 Clear</v>
      </c>
      <c r="J148" s="7">
        <v>0.14000000000000001</v>
      </c>
      <c r="K148" s="7">
        <v>0.1515</v>
      </c>
      <c r="L148" s="7">
        <v>0.74</v>
      </c>
      <c r="M148" s="7">
        <v>0.1343</v>
      </c>
      <c r="N148" s="1">
        <v>3</v>
      </c>
      <c r="O148" s="1">
        <v>217</v>
      </c>
      <c r="P148" s="1">
        <v>220</v>
      </c>
      <c r="Q148" s="1" t="str" cm="1">
        <f t="array" ref="Q148">_xlfn.IFS(dataset3[[#This Row],[Windspeed]]&lt;=0.1,"0.00 -0.10",dataset3[[#This Row],[Windspeed]]&lt;=0.2,"0.10-0.20",dataset3[[#This Row],[Windspeed]]&lt;=0.3,"0.20-0.30",dataset3[[#This Row],[Windspeed]]&lt;=0.4,"0.30-0.40",dataset3[[#This Row],[Windspeed]]&lt;=0.5,"0.40-0.50",dataset3[[#This Row],[Windspeed]]&lt;=0.6,"0.50-0.60")</f>
        <v>0.10-0.20</v>
      </c>
      <c r="R148" s="1" t="str" cm="1">
        <f t="array" ref="R14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149" spans="1:18" x14ac:dyDescent="0.25">
      <c r="A149" s="1">
        <v>767</v>
      </c>
      <c r="B149" s="3">
        <v>40578</v>
      </c>
      <c r="C149" s="1">
        <v>1</v>
      </c>
      <c r="D149" s="1">
        <v>9</v>
      </c>
      <c r="E149" s="1" t="s">
        <v>27</v>
      </c>
      <c r="F149" s="1">
        <v>5</v>
      </c>
      <c r="G149" s="1">
        <v>2</v>
      </c>
      <c r="H149" s="1" t="str">
        <f t="shared" si="2"/>
        <v>Friday</v>
      </c>
      <c r="I149" s="1" t="str" cm="1">
        <f t="array" ref="I149">_xlfn.IFS(dataset3[[#This Row],[Weather sit]]=1,"1 Clear",dataset3[[#This Row],[Weather sit]]=2,"2 Misty/Cloudy",dataset3[[#This Row],[Weather sit]]=3,"3 Light Snow/Rain",dataset3[[#This Row],[Weather sit]]=4,"4 Heavy Snow/Rain")</f>
        <v>2 Misty/Cloudy</v>
      </c>
      <c r="J149" s="7">
        <v>0.16</v>
      </c>
      <c r="K149" s="7">
        <v>0.18179999999999999</v>
      </c>
      <c r="L149" s="7">
        <v>0.8</v>
      </c>
      <c r="M149" s="7">
        <v>0.1343</v>
      </c>
      <c r="N149" s="1">
        <v>3</v>
      </c>
      <c r="O149" s="1">
        <v>124</v>
      </c>
      <c r="P149" s="1">
        <v>127</v>
      </c>
      <c r="Q149" s="1" t="str" cm="1">
        <f t="array" ref="Q149">_xlfn.IFS(dataset3[[#This Row],[Windspeed]]&lt;=0.1,"0.00 -0.10",dataset3[[#This Row],[Windspeed]]&lt;=0.2,"0.10-0.20",dataset3[[#This Row],[Windspeed]]&lt;=0.3,"0.20-0.30",dataset3[[#This Row],[Windspeed]]&lt;=0.4,"0.30-0.40",dataset3[[#This Row],[Windspeed]]&lt;=0.5,"0.40-0.50",dataset3[[#This Row],[Windspeed]]&lt;=0.6,"0.50-0.60")</f>
        <v>0.10-0.20</v>
      </c>
      <c r="R149" s="1" t="str" cm="1">
        <f t="array" ref="R14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150" spans="1:18" x14ac:dyDescent="0.25">
      <c r="A150" s="1">
        <v>768</v>
      </c>
      <c r="B150" s="3">
        <v>40578</v>
      </c>
      <c r="C150" s="1">
        <v>1</v>
      </c>
      <c r="D150" s="1">
        <v>10</v>
      </c>
      <c r="E150" s="1" t="s">
        <v>27</v>
      </c>
      <c r="F150" s="1">
        <v>5</v>
      </c>
      <c r="G150" s="1">
        <v>2</v>
      </c>
      <c r="H150" s="1" t="str">
        <f t="shared" si="2"/>
        <v>Friday</v>
      </c>
      <c r="I150" s="1" t="str" cm="1">
        <f t="array" ref="I150">_xlfn.IFS(dataset3[[#This Row],[Weather sit]]=1,"1 Clear",dataset3[[#This Row],[Weather sit]]=2,"2 Misty/Cloudy",dataset3[[#This Row],[Weather sit]]=3,"3 Light Snow/Rain",dataset3[[#This Row],[Weather sit]]=4,"4 Heavy Snow/Rain")</f>
        <v>2 Misty/Cloudy</v>
      </c>
      <c r="J150" s="7">
        <v>0.2</v>
      </c>
      <c r="K150" s="7">
        <v>0.21210000000000001</v>
      </c>
      <c r="L150" s="7">
        <v>0.51</v>
      </c>
      <c r="M150" s="7">
        <v>0.1343</v>
      </c>
      <c r="N150" s="1">
        <v>5</v>
      </c>
      <c r="O150" s="1">
        <v>46</v>
      </c>
      <c r="P150" s="1">
        <v>51</v>
      </c>
      <c r="Q150" s="1" t="str" cm="1">
        <f t="array" ref="Q150">_xlfn.IFS(dataset3[[#This Row],[Windspeed]]&lt;=0.1,"0.00 -0.10",dataset3[[#This Row],[Windspeed]]&lt;=0.2,"0.10-0.20",dataset3[[#This Row],[Windspeed]]&lt;=0.3,"0.20-0.30",dataset3[[#This Row],[Windspeed]]&lt;=0.4,"0.30-0.40",dataset3[[#This Row],[Windspeed]]&lt;=0.5,"0.40-0.50",dataset3[[#This Row],[Windspeed]]&lt;=0.6,"0.50-0.60")</f>
        <v>0.10-0.20</v>
      </c>
      <c r="R150" s="1" t="str" cm="1">
        <f t="array" ref="R15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51" spans="1:18" x14ac:dyDescent="0.25">
      <c r="A151" s="1">
        <v>769</v>
      </c>
      <c r="B151" s="3">
        <v>40578</v>
      </c>
      <c r="C151" s="1">
        <v>1</v>
      </c>
      <c r="D151" s="1">
        <v>11</v>
      </c>
      <c r="E151" s="1" t="s">
        <v>27</v>
      </c>
      <c r="F151" s="1">
        <v>5</v>
      </c>
      <c r="G151" s="1">
        <v>1</v>
      </c>
      <c r="H151" s="1" t="str">
        <f t="shared" si="2"/>
        <v>Friday</v>
      </c>
      <c r="I151" s="1" t="str" cm="1">
        <f t="array" ref="I151">_xlfn.IFS(dataset3[[#This Row],[Weather sit]]=1,"1 Clear",dataset3[[#This Row],[Weather sit]]=2,"2 Misty/Cloudy",dataset3[[#This Row],[Weather sit]]=3,"3 Light Snow/Rain",dataset3[[#This Row],[Weather sit]]=4,"4 Heavy Snow/Rain")</f>
        <v>1 Clear</v>
      </c>
      <c r="J151" s="7">
        <v>0.22</v>
      </c>
      <c r="K151" s="7">
        <v>0.2273</v>
      </c>
      <c r="L151" s="7">
        <v>0.51</v>
      </c>
      <c r="M151" s="7">
        <v>0.16420000000000001</v>
      </c>
      <c r="N151" s="1">
        <v>3</v>
      </c>
      <c r="O151" s="1">
        <v>61</v>
      </c>
      <c r="P151" s="1">
        <v>64</v>
      </c>
      <c r="Q151" s="1" t="str" cm="1">
        <f t="array" ref="Q151">_xlfn.IFS(dataset3[[#This Row],[Windspeed]]&lt;=0.1,"0.00 -0.10",dataset3[[#This Row],[Windspeed]]&lt;=0.2,"0.10-0.20",dataset3[[#This Row],[Windspeed]]&lt;=0.3,"0.20-0.30",dataset3[[#This Row],[Windspeed]]&lt;=0.4,"0.30-0.40",dataset3[[#This Row],[Windspeed]]&lt;=0.5,"0.40-0.50",dataset3[[#This Row],[Windspeed]]&lt;=0.6,"0.50-0.60")</f>
        <v>0.10-0.20</v>
      </c>
      <c r="R151" s="1" t="str" cm="1">
        <f t="array" ref="R15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52" spans="1:18" x14ac:dyDescent="0.25">
      <c r="A152" s="1">
        <v>770</v>
      </c>
      <c r="B152" s="3">
        <v>40578</v>
      </c>
      <c r="C152" s="1">
        <v>1</v>
      </c>
      <c r="D152" s="1">
        <v>12</v>
      </c>
      <c r="E152" s="1" t="s">
        <v>27</v>
      </c>
      <c r="F152" s="1">
        <v>5</v>
      </c>
      <c r="G152" s="1">
        <v>2</v>
      </c>
      <c r="H152" s="1" t="str">
        <f t="shared" si="2"/>
        <v>Friday</v>
      </c>
      <c r="I152" s="1" t="str" cm="1">
        <f t="array" ref="I152">_xlfn.IFS(dataset3[[#This Row],[Weather sit]]=1,"1 Clear",dataset3[[#This Row],[Weather sit]]=2,"2 Misty/Cloudy",dataset3[[#This Row],[Weather sit]]=3,"3 Light Snow/Rain",dataset3[[#This Row],[Weather sit]]=4,"4 Heavy Snow/Rain")</f>
        <v>2 Misty/Cloudy</v>
      </c>
      <c r="J152" s="7">
        <v>0.24</v>
      </c>
      <c r="K152" s="7">
        <v>0.2424</v>
      </c>
      <c r="L152" s="7">
        <v>0.48</v>
      </c>
      <c r="M152" s="7">
        <v>0.16420000000000001</v>
      </c>
      <c r="N152" s="1">
        <v>8</v>
      </c>
      <c r="O152" s="1">
        <v>78</v>
      </c>
      <c r="P152" s="1">
        <v>86</v>
      </c>
      <c r="Q152" s="1" t="str" cm="1">
        <f t="array" ref="Q152">_xlfn.IFS(dataset3[[#This Row],[Windspeed]]&lt;=0.1,"0.00 -0.10",dataset3[[#This Row],[Windspeed]]&lt;=0.2,"0.10-0.20",dataset3[[#This Row],[Windspeed]]&lt;=0.3,"0.20-0.30",dataset3[[#This Row],[Windspeed]]&lt;=0.4,"0.30-0.40",dataset3[[#This Row],[Windspeed]]&lt;=0.5,"0.40-0.50",dataset3[[#This Row],[Windspeed]]&lt;=0.6,"0.50-0.60")</f>
        <v>0.10-0.20</v>
      </c>
      <c r="R152" s="1" t="str" cm="1">
        <f t="array" ref="R15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53" spans="1:18" x14ac:dyDescent="0.25">
      <c r="A153" s="1">
        <v>771</v>
      </c>
      <c r="B153" s="3">
        <v>40578</v>
      </c>
      <c r="C153" s="1">
        <v>1</v>
      </c>
      <c r="D153" s="1">
        <v>13</v>
      </c>
      <c r="E153" s="1" t="s">
        <v>27</v>
      </c>
      <c r="F153" s="1">
        <v>5</v>
      </c>
      <c r="G153" s="1">
        <v>2</v>
      </c>
      <c r="H153" s="1" t="str">
        <f t="shared" si="2"/>
        <v>Friday</v>
      </c>
      <c r="I153" s="1" t="str" cm="1">
        <f t="array" ref="I153">_xlfn.IFS(dataset3[[#This Row],[Weather sit]]=1,"1 Clear",dataset3[[#This Row],[Weather sit]]=2,"2 Misty/Cloudy",dataset3[[#This Row],[Weather sit]]=3,"3 Light Snow/Rain",dataset3[[#This Row],[Weather sit]]=4,"4 Heavy Snow/Rain")</f>
        <v>2 Misty/Cloudy</v>
      </c>
      <c r="J153" s="7">
        <v>0.26</v>
      </c>
      <c r="K153" s="7">
        <v>0.2576</v>
      </c>
      <c r="L153" s="7">
        <v>0.5</v>
      </c>
      <c r="M153" s="7">
        <v>0.22389999999999999</v>
      </c>
      <c r="N153" s="1">
        <v>9</v>
      </c>
      <c r="O153" s="1">
        <v>73</v>
      </c>
      <c r="P153" s="1">
        <v>82</v>
      </c>
      <c r="Q153" s="1" t="str" cm="1">
        <f t="array" ref="Q153">_xlfn.IFS(dataset3[[#This Row],[Windspeed]]&lt;=0.1,"0.00 -0.10",dataset3[[#This Row],[Windspeed]]&lt;=0.2,"0.10-0.20",dataset3[[#This Row],[Windspeed]]&lt;=0.3,"0.20-0.30",dataset3[[#This Row],[Windspeed]]&lt;=0.4,"0.30-0.40",dataset3[[#This Row],[Windspeed]]&lt;=0.5,"0.40-0.50",dataset3[[#This Row],[Windspeed]]&lt;=0.6,"0.50-0.60")</f>
        <v>0.20-0.30</v>
      </c>
      <c r="R153" s="1" t="str" cm="1">
        <f t="array" ref="R15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54" spans="1:18" x14ac:dyDescent="0.25">
      <c r="A154" s="1">
        <v>772</v>
      </c>
      <c r="B154" s="3">
        <v>40578</v>
      </c>
      <c r="C154" s="1">
        <v>1</v>
      </c>
      <c r="D154" s="1">
        <v>14</v>
      </c>
      <c r="E154" s="1" t="s">
        <v>27</v>
      </c>
      <c r="F154" s="1">
        <v>5</v>
      </c>
      <c r="G154" s="1">
        <v>2</v>
      </c>
      <c r="H154" s="1" t="str">
        <f t="shared" si="2"/>
        <v>Friday</v>
      </c>
      <c r="I154" s="1" t="str" cm="1">
        <f t="array" ref="I154">_xlfn.IFS(dataset3[[#This Row],[Weather sit]]=1,"1 Clear",dataset3[[#This Row],[Weather sit]]=2,"2 Misty/Cloudy",dataset3[[#This Row],[Weather sit]]=3,"3 Light Snow/Rain",dataset3[[#This Row],[Weather sit]]=4,"4 Heavy Snow/Rain")</f>
        <v>2 Misty/Cloudy</v>
      </c>
      <c r="J154" s="7">
        <v>0.28000000000000003</v>
      </c>
      <c r="K154" s="7">
        <v>0.2727</v>
      </c>
      <c r="L154" s="7">
        <v>0.45</v>
      </c>
      <c r="M154" s="7">
        <v>0.16420000000000001</v>
      </c>
      <c r="N154" s="1">
        <v>15</v>
      </c>
      <c r="O154" s="1">
        <v>76</v>
      </c>
      <c r="P154" s="1">
        <v>91</v>
      </c>
      <c r="Q154" s="1" t="str" cm="1">
        <f t="array" ref="Q154">_xlfn.IFS(dataset3[[#This Row],[Windspeed]]&lt;=0.1,"0.00 -0.10",dataset3[[#This Row],[Windspeed]]&lt;=0.2,"0.10-0.20",dataset3[[#This Row],[Windspeed]]&lt;=0.3,"0.20-0.30",dataset3[[#This Row],[Windspeed]]&lt;=0.4,"0.30-0.40",dataset3[[#This Row],[Windspeed]]&lt;=0.5,"0.40-0.50",dataset3[[#This Row],[Windspeed]]&lt;=0.6,"0.50-0.60")</f>
        <v>0.10-0.20</v>
      </c>
      <c r="R154" s="1" t="str" cm="1">
        <f t="array" ref="R15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55" spans="1:18" x14ac:dyDescent="0.25">
      <c r="A155" s="1">
        <v>773</v>
      </c>
      <c r="B155" s="3">
        <v>40578</v>
      </c>
      <c r="C155" s="1">
        <v>1</v>
      </c>
      <c r="D155" s="1">
        <v>15</v>
      </c>
      <c r="E155" s="1" t="s">
        <v>27</v>
      </c>
      <c r="F155" s="1">
        <v>5</v>
      </c>
      <c r="G155" s="1">
        <v>2</v>
      </c>
      <c r="H155" s="1" t="str">
        <f t="shared" si="2"/>
        <v>Friday</v>
      </c>
      <c r="I155" s="1" t="str" cm="1">
        <f t="array" ref="I155">_xlfn.IFS(dataset3[[#This Row],[Weather sit]]=1,"1 Clear",dataset3[[#This Row],[Weather sit]]=2,"2 Misty/Cloudy",dataset3[[#This Row],[Weather sit]]=3,"3 Light Snow/Rain",dataset3[[#This Row],[Weather sit]]=4,"4 Heavy Snow/Rain")</f>
        <v>2 Misty/Cloudy</v>
      </c>
      <c r="J155" s="7">
        <v>0.28000000000000003</v>
      </c>
      <c r="K155" s="7">
        <v>0.2727</v>
      </c>
      <c r="L155" s="7">
        <v>0.48</v>
      </c>
      <c r="M155" s="7">
        <v>0.25369999999999998</v>
      </c>
      <c r="N155" s="1">
        <v>9</v>
      </c>
      <c r="O155" s="1">
        <v>81</v>
      </c>
      <c r="P155" s="1">
        <v>90</v>
      </c>
      <c r="Q155" s="1" t="str" cm="1">
        <f t="array" ref="Q155">_xlfn.IFS(dataset3[[#This Row],[Windspeed]]&lt;=0.1,"0.00 -0.10",dataset3[[#This Row],[Windspeed]]&lt;=0.2,"0.10-0.20",dataset3[[#This Row],[Windspeed]]&lt;=0.3,"0.20-0.30",dataset3[[#This Row],[Windspeed]]&lt;=0.4,"0.30-0.40",dataset3[[#This Row],[Windspeed]]&lt;=0.5,"0.40-0.50",dataset3[[#This Row],[Windspeed]]&lt;=0.6,"0.50-0.60")</f>
        <v>0.20-0.30</v>
      </c>
      <c r="R155" s="1" t="str" cm="1">
        <f t="array" ref="R15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56" spans="1:18" x14ac:dyDescent="0.25">
      <c r="A156" s="1">
        <v>774</v>
      </c>
      <c r="B156" s="3">
        <v>40578</v>
      </c>
      <c r="C156" s="1">
        <v>1</v>
      </c>
      <c r="D156" s="1">
        <v>16</v>
      </c>
      <c r="E156" s="1" t="s">
        <v>27</v>
      </c>
      <c r="F156" s="1">
        <v>5</v>
      </c>
      <c r="G156" s="1">
        <v>2</v>
      </c>
      <c r="H156" s="1" t="str">
        <f t="shared" si="2"/>
        <v>Friday</v>
      </c>
      <c r="I156" s="1" t="str" cm="1">
        <f t="array" ref="I156">_xlfn.IFS(dataset3[[#This Row],[Weather sit]]=1,"1 Clear",dataset3[[#This Row],[Weather sit]]=2,"2 Misty/Cloudy",dataset3[[#This Row],[Weather sit]]=3,"3 Light Snow/Rain",dataset3[[#This Row],[Weather sit]]=4,"4 Heavy Snow/Rain")</f>
        <v>2 Misty/Cloudy</v>
      </c>
      <c r="J156" s="7">
        <v>0.3</v>
      </c>
      <c r="K156" s="7">
        <v>0.28789999999999999</v>
      </c>
      <c r="L156" s="7">
        <v>0.42</v>
      </c>
      <c r="M156" s="7">
        <v>0.22389999999999999</v>
      </c>
      <c r="N156" s="1">
        <v>8</v>
      </c>
      <c r="O156" s="1">
        <v>91</v>
      </c>
      <c r="P156" s="1">
        <v>99</v>
      </c>
      <c r="Q156" s="1" t="str" cm="1">
        <f t="array" ref="Q156">_xlfn.IFS(dataset3[[#This Row],[Windspeed]]&lt;=0.1,"0.00 -0.10",dataset3[[#This Row],[Windspeed]]&lt;=0.2,"0.10-0.20",dataset3[[#This Row],[Windspeed]]&lt;=0.3,"0.20-0.30",dataset3[[#This Row],[Windspeed]]&lt;=0.4,"0.30-0.40",dataset3[[#This Row],[Windspeed]]&lt;=0.5,"0.40-0.50",dataset3[[#This Row],[Windspeed]]&lt;=0.6,"0.50-0.60")</f>
        <v>0.20-0.30</v>
      </c>
      <c r="R156" s="1" t="str" cm="1">
        <f t="array" ref="R15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157" spans="1:18" x14ac:dyDescent="0.25">
      <c r="A157" s="1">
        <v>775</v>
      </c>
      <c r="B157" s="3">
        <v>40578</v>
      </c>
      <c r="C157" s="1">
        <v>1</v>
      </c>
      <c r="D157" s="1">
        <v>17</v>
      </c>
      <c r="E157" s="1" t="s">
        <v>27</v>
      </c>
      <c r="F157" s="1">
        <v>5</v>
      </c>
      <c r="G157" s="1">
        <v>2</v>
      </c>
      <c r="H157" s="1" t="str">
        <f t="shared" si="2"/>
        <v>Friday</v>
      </c>
      <c r="I157" s="1" t="str" cm="1">
        <f t="array" ref="I157">_xlfn.IFS(dataset3[[#This Row],[Weather sit]]=1,"1 Clear",dataset3[[#This Row],[Weather sit]]=2,"2 Misty/Cloudy",dataset3[[#This Row],[Weather sit]]=3,"3 Light Snow/Rain",dataset3[[#This Row],[Weather sit]]=4,"4 Heavy Snow/Rain")</f>
        <v>2 Misty/Cloudy</v>
      </c>
      <c r="J157" s="7">
        <v>0.26</v>
      </c>
      <c r="K157" s="7">
        <v>0.2727</v>
      </c>
      <c r="L157" s="7">
        <v>0.56000000000000005</v>
      </c>
      <c r="M157" s="7">
        <v>0.1343</v>
      </c>
      <c r="N157" s="1">
        <v>10</v>
      </c>
      <c r="O157" s="1">
        <v>195</v>
      </c>
      <c r="P157" s="1">
        <v>205</v>
      </c>
      <c r="Q157" s="1" t="str" cm="1">
        <f t="array" ref="Q157">_xlfn.IFS(dataset3[[#This Row],[Windspeed]]&lt;=0.1,"0.00 -0.10",dataset3[[#This Row],[Windspeed]]&lt;=0.2,"0.10-0.20",dataset3[[#This Row],[Windspeed]]&lt;=0.3,"0.20-0.30",dataset3[[#This Row],[Windspeed]]&lt;=0.4,"0.30-0.40",dataset3[[#This Row],[Windspeed]]&lt;=0.5,"0.40-0.50",dataset3[[#This Row],[Windspeed]]&lt;=0.6,"0.50-0.60")</f>
        <v>0.10-0.20</v>
      </c>
      <c r="R157" s="1" t="str" cm="1">
        <f t="array" ref="R15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58" spans="1:18" x14ac:dyDescent="0.25">
      <c r="A158" s="1">
        <v>776</v>
      </c>
      <c r="B158" s="3">
        <v>40578</v>
      </c>
      <c r="C158" s="1">
        <v>1</v>
      </c>
      <c r="D158" s="1">
        <v>18</v>
      </c>
      <c r="E158" s="1" t="s">
        <v>27</v>
      </c>
      <c r="F158" s="1">
        <v>5</v>
      </c>
      <c r="G158" s="1">
        <v>2</v>
      </c>
      <c r="H158" s="1" t="str">
        <f t="shared" si="2"/>
        <v>Friday</v>
      </c>
      <c r="I158" s="1" t="str" cm="1">
        <f t="array" ref="I158">_xlfn.IFS(dataset3[[#This Row],[Weather sit]]=1,"1 Clear",dataset3[[#This Row],[Weather sit]]=2,"2 Misty/Cloudy",dataset3[[#This Row],[Weather sit]]=3,"3 Light Snow/Rain",dataset3[[#This Row],[Weather sit]]=4,"4 Heavy Snow/Rain")</f>
        <v>2 Misty/Cloudy</v>
      </c>
      <c r="J158" s="7">
        <v>0.24</v>
      </c>
      <c r="K158" s="7">
        <v>0.2576</v>
      </c>
      <c r="L158" s="7">
        <v>0.6</v>
      </c>
      <c r="M158" s="7">
        <v>0.1045</v>
      </c>
      <c r="N158" s="1">
        <v>3</v>
      </c>
      <c r="O158" s="1">
        <v>152</v>
      </c>
      <c r="P158" s="1">
        <v>155</v>
      </c>
      <c r="Q158" s="1" t="str" cm="1">
        <f t="array" ref="Q158">_xlfn.IFS(dataset3[[#This Row],[Windspeed]]&lt;=0.1,"0.00 -0.10",dataset3[[#This Row],[Windspeed]]&lt;=0.2,"0.10-0.20",dataset3[[#This Row],[Windspeed]]&lt;=0.3,"0.20-0.30",dataset3[[#This Row],[Windspeed]]&lt;=0.4,"0.30-0.40",dataset3[[#This Row],[Windspeed]]&lt;=0.5,"0.40-0.50",dataset3[[#This Row],[Windspeed]]&lt;=0.6,"0.50-0.60")</f>
        <v>0.10-0.20</v>
      </c>
      <c r="R158" s="1" t="str" cm="1">
        <f t="array" ref="R15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59" spans="1:18" x14ac:dyDescent="0.25">
      <c r="A159" s="1">
        <v>777</v>
      </c>
      <c r="B159" s="3">
        <v>40578</v>
      </c>
      <c r="C159" s="1">
        <v>1</v>
      </c>
      <c r="D159" s="1">
        <v>19</v>
      </c>
      <c r="E159" s="1" t="s">
        <v>27</v>
      </c>
      <c r="F159" s="1">
        <v>5</v>
      </c>
      <c r="G159" s="1">
        <v>2</v>
      </c>
      <c r="H159" s="1" t="str">
        <f t="shared" si="2"/>
        <v>Friday</v>
      </c>
      <c r="I159" s="1" t="str" cm="1">
        <f t="array" ref="I159">_xlfn.IFS(dataset3[[#This Row],[Weather sit]]=1,"1 Clear",dataset3[[#This Row],[Weather sit]]=2,"2 Misty/Cloudy",dataset3[[#This Row],[Weather sit]]=3,"3 Light Snow/Rain",dataset3[[#This Row],[Weather sit]]=4,"4 Heavy Snow/Rain")</f>
        <v>2 Misty/Cloudy</v>
      </c>
      <c r="J159" s="7">
        <v>0.24</v>
      </c>
      <c r="K159" s="7">
        <v>0.2424</v>
      </c>
      <c r="L159" s="7">
        <v>0.65</v>
      </c>
      <c r="M159" s="7">
        <v>0.1343</v>
      </c>
      <c r="N159" s="1">
        <v>1</v>
      </c>
      <c r="O159" s="1">
        <v>102</v>
      </c>
      <c r="P159" s="1">
        <v>103</v>
      </c>
      <c r="Q159" s="1" t="str" cm="1">
        <f t="array" ref="Q159">_xlfn.IFS(dataset3[[#This Row],[Windspeed]]&lt;=0.1,"0.00 -0.10",dataset3[[#This Row],[Windspeed]]&lt;=0.2,"0.10-0.20",dataset3[[#This Row],[Windspeed]]&lt;=0.3,"0.20-0.30",dataset3[[#This Row],[Windspeed]]&lt;=0.4,"0.30-0.40",dataset3[[#This Row],[Windspeed]]&lt;=0.5,"0.40-0.50",dataset3[[#This Row],[Windspeed]]&lt;=0.6,"0.50-0.60")</f>
        <v>0.10-0.20</v>
      </c>
      <c r="R159" s="1" t="str" cm="1">
        <f t="array" ref="R15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60" spans="1:18" x14ac:dyDescent="0.25">
      <c r="A160" s="1">
        <v>778</v>
      </c>
      <c r="B160" s="3">
        <v>40578</v>
      </c>
      <c r="C160" s="1">
        <v>1</v>
      </c>
      <c r="D160" s="1">
        <v>20</v>
      </c>
      <c r="E160" s="1" t="s">
        <v>27</v>
      </c>
      <c r="F160" s="1">
        <v>5</v>
      </c>
      <c r="G160" s="1">
        <v>2</v>
      </c>
      <c r="H160" s="1" t="str">
        <f t="shared" si="2"/>
        <v>Friday</v>
      </c>
      <c r="I160" s="1" t="str" cm="1">
        <f t="array" ref="I160">_xlfn.IFS(dataset3[[#This Row],[Weather sit]]=1,"1 Clear",dataset3[[#This Row],[Weather sit]]=2,"2 Misty/Cloudy",dataset3[[#This Row],[Weather sit]]=3,"3 Light Snow/Rain",dataset3[[#This Row],[Weather sit]]=4,"4 Heavy Snow/Rain")</f>
        <v>2 Misty/Cloudy</v>
      </c>
      <c r="J160" s="7">
        <v>0.24</v>
      </c>
      <c r="K160" s="7">
        <v>0.2424</v>
      </c>
      <c r="L160" s="7">
        <v>0.65</v>
      </c>
      <c r="M160" s="7">
        <v>0.16420000000000001</v>
      </c>
      <c r="N160" s="1">
        <v>2</v>
      </c>
      <c r="O160" s="1">
        <v>69</v>
      </c>
      <c r="P160" s="1">
        <v>71</v>
      </c>
      <c r="Q160" s="1" t="str" cm="1">
        <f t="array" ref="Q160">_xlfn.IFS(dataset3[[#This Row],[Windspeed]]&lt;=0.1,"0.00 -0.10",dataset3[[#This Row],[Windspeed]]&lt;=0.2,"0.10-0.20",dataset3[[#This Row],[Windspeed]]&lt;=0.3,"0.20-0.30",dataset3[[#This Row],[Windspeed]]&lt;=0.4,"0.30-0.40",dataset3[[#This Row],[Windspeed]]&lt;=0.5,"0.40-0.50",dataset3[[#This Row],[Windspeed]]&lt;=0.6,"0.50-0.60")</f>
        <v>0.10-0.20</v>
      </c>
      <c r="R160" s="1" t="str" cm="1">
        <f t="array" ref="R16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61" spans="1:18" x14ac:dyDescent="0.25">
      <c r="A161" s="1">
        <v>779</v>
      </c>
      <c r="B161" s="3">
        <v>40578</v>
      </c>
      <c r="C161" s="1">
        <v>1</v>
      </c>
      <c r="D161" s="1">
        <v>21</v>
      </c>
      <c r="E161" s="1" t="s">
        <v>27</v>
      </c>
      <c r="F161" s="1">
        <v>5</v>
      </c>
      <c r="G161" s="1">
        <v>2</v>
      </c>
      <c r="H161" s="1" t="str">
        <f t="shared" si="2"/>
        <v>Friday</v>
      </c>
      <c r="I161" s="1" t="str" cm="1">
        <f t="array" ref="I161">_xlfn.IFS(dataset3[[#This Row],[Weather sit]]=1,"1 Clear",dataset3[[#This Row],[Weather sit]]=2,"2 Misty/Cloudy",dataset3[[#This Row],[Weather sit]]=3,"3 Light Snow/Rain",dataset3[[#This Row],[Weather sit]]=4,"4 Heavy Snow/Rain")</f>
        <v>2 Misty/Cloudy</v>
      </c>
      <c r="J161" s="7">
        <v>0.24</v>
      </c>
      <c r="K161" s="7">
        <v>0.2424</v>
      </c>
      <c r="L161" s="7">
        <v>0.7</v>
      </c>
      <c r="M161" s="7">
        <v>0.16420000000000001</v>
      </c>
      <c r="N161" s="1">
        <v>2</v>
      </c>
      <c r="O161" s="1">
        <v>41</v>
      </c>
      <c r="P161" s="1">
        <v>43</v>
      </c>
      <c r="Q161" s="1" t="str" cm="1">
        <f t="array" ref="Q161">_xlfn.IFS(dataset3[[#This Row],[Windspeed]]&lt;=0.1,"0.00 -0.10",dataset3[[#This Row],[Windspeed]]&lt;=0.2,"0.10-0.20",dataset3[[#This Row],[Windspeed]]&lt;=0.3,"0.20-0.30",dataset3[[#This Row],[Windspeed]]&lt;=0.4,"0.30-0.40",dataset3[[#This Row],[Windspeed]]&lt;=0.5,"0.40-0.50",dataset3[[#This Row],[Windspeed]]&lt;=0.6,"0.50-0.60")</f>
        <v>0.10-0.20</v>
      </c>
      <c r="R161" s="1" t="str" cm="1">
        <f t="array" ref="R16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62" spans="1:18" x14ac:dyDescent="0.25">
      <c r="A162" s="1">
        <v>780</v>
      </c>
      <c r="B162" s="3">
        <v>40578</v>
      </c>
      <c r="C162" s="1">
        <v>1</v>
      </c>
      <c r="D162" s="1">
        <v>22</v>
      </c>
      <c r="E162" s="1" t="s">
        <v>27</v>
      </c>
      <c r="F162" s="1">
        <v>5</v>
      </c>
      <c r="G162" s="1">
        <v>2</v>
      </c>
      <c r="H162" s="1" t="str">
        <f t="shared" si="2"/>
        <v>Friday</v>
      </c>
      <c r="I162" s="1" t="str" cm="1">
        <f t="array" ref="I162">_xlfn.IFS(dataset3[[#This Row],[Weather sit]]=1,"1 Clear",dataset3[[#This Row],[Weather sit]]=2,"2 Misty/Cloudy",dataset3[[#This Row],[Weather sit]]=3,"3 Light Snow/Rain",dataset3[[#This Row],[Weather sit]]=4,"4 Heavy Snow/Rain")</f>
        <v>2 Misty/Cloudy</v>
      </c>
      <c r="J162" s="7">
        <v>0.24</v>
      </c>
      <c r="K162" s="7">
        <v>0.2424</v>
      </c>
      <c r="L162" s="7">
        <v>0.65</v>
      </c>
      <c r="M162" s="7">
        <v>0.16420000000000001</v>
      </c>
      <c r="N162" s="1">
        <v>1</v>
      </c>
      <c r="O162" s="1">
        <v>45</v>
      </c>
      <c r="P162" s="1">
        <v>46</v>
      </c>
      <c r="Q162" s="1" t="str" cm="1">
        <f t="array" ref="Q162">_xlfn.IFS(dataset3[[#This Row],[Windspeed]]&lt;=0.1,"0.00 -0.10",dataset3[[#This Row],[Windspeed]]&lt;=0.2,"0.10-0.20",dataset3[[#This Row],[Windspeed]]&lt;=0.3,"0.20-0.30",dataset3[[#This Row],[Windspeed]]&lt;=0.4,"0.30-0.40",dataset3[[#This Row],[Windspeed]]&lt;=0.5,"0.40-0.50",dataset3[[#This Row],[Windspeed]]&lt;=0.6,"0.50-0.60")</f>
        <v>0.10-0.20</v>
      </c>
      <c r="R162" s="1" t="str" cm="1">
        <f t="array" ref="R16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63" spans="1:18" x14ac:dyDescent="0.25">
      <c r="A163" s="1">
        <v>781</v>
      </c>
      <c r="B163" s="3">
        <v>40578</v>
      </c>
      <c r="C163" s="1">
        <v>1</v>
      </c>
      <c r="D163" s="1">
        <v>23</v>
      </c>
      <c r="E163" s="1" t="s">
        <v>27</v>
      </c>
      <c r="F163" s="1">
        <v>5</v>
      </c>
      <c r="G163" s="1">
        <v>2</v>
      </c>
      <c r="H163" s="1" t="str">
        <f t="shared" si="2"/>
        <v>Friday</v>
      </c>
      <c r="I163" s="1" t="str" cm="1">
        <f t="array" ref="I163">_xlfn.IFS(dataset3[[#This Row],[Weather sit]]=1,"1 Clear",dataset3[[#This Row],[Weather sit]]=2,"2 Misty/Cloudy",dataset3[[#This Row],[Weather sit]]=3,"3 Light Snow/Rain",dataset3[[#This Row],[Weather sit]]=4,"4 Heavy Snow/Rain")</f>
        <v>2 Misty/Cloudy</v>
      </c>
      <c r="J163" s="7">
        <v>0.24</v>
      </c>
      <c r="K163" s="7">
        <v>0.2424</v>
      </c>
      <c r="L163" s="7">
        <v>0.7</v>
      </c>
      <c r="M163" s="7">
        <v>0.1343</v>
      </c>
      <c r="N163" s="1">
        <v>1</v>
      </c>
      <c r="O163" s="1">
        <v>30</v>
      </c>
      <c r="P163" s="1">
        <v>31</v>
      </c>
      <c r="Q163" s="1" t="str" cm="1">
        <f t="array" ref="Q163">_xlfn.IFS(dataset3[[#This Row],[Windspeed]]&lt;=0.1,"0.00 -0.10",dataset3[[#This Row],[Windspeed]]&lt;=0.2,"0.10-0.20",dataset3[[#This Row],[Windspeed]]&lt;=0.3,"0.20-0.30",dataset3[[#This Row],[Windspeed]]&lt;=0.4,"0.30-0.40",dataset3[[#This Row],[Windspeed]]&lt;=0.5,"0.40-0.50",dataset3[[#This Row],[Windspeed]]&lt;=0.6,"0.50-0.60")</f>
        <v>0.10-0.20</v>
      </c>
      <c r="R163" s="1" t="str" cm="1">
        <f t="array" ref="R16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64" spans="1:18" x14ac:dyDescent="0.25">
      <c r="A164" s="1">
        <v>782</v>
      </c>
      <c r="B164" s="3">
        <v>40579</v>
      </c>
      <c r="C164" s="1">
        <v>1</v>
      </c>
      <c r="D164" s="1">
        <v>0</v>
      </c>
      <c r="E164" s="1" t="s">
        <v>27</v>
      </c>
      <c r="F164" s="1">
        <v>6</v>
      </c>
      <c r="G164" s="1">
        <v>2</v>
      </c>
      <c r="H164" s="1" t="str">
        <f t="shared" si="2"/>
        <v>Saturday</v>
      </c>
      <c r="I164" s="1" t="str" cm="1">
        <f t="array" ref="I164">_xlfn.IFS(dataset3[[#This Row],[Weather sit]]=1,"1 Clear",dataset3[[#This Row],[Weather sit]]=2,"2 Misty/Cloudy",dataset3[[#This Row],[Weather sit]]=3,"3 Light Snow/Rain",dataset3[[#This Row],[Weather sit]]=4,"4 Heavy Snow/Rain")</f>
        <v>2 Misty/Cloudy</v>
      </c>
      <c r="J164" s="7">
        <v>0.24</v>
      </c>
      <c r="K164" s="7">
        <v>0.2424</v>
      </c>
      <c r="L164" s="7">
        <v>0.7</v>
      </c>
      <c r="M164" s="7">
        <v>0.16420000000000001</v>
      </c>
      <c r="N164" s="1">
        <v>3</v>
      </c>
      <c r="O164" s="1">
        <v>36</v>
      </c>
      <c r="P164" s="1">
        <v>39</v>
      </c>
      <c r="Q164" s="1" t="str" cm="1">
        <f t="array" ref="Q164">_xlfn.IFS(dataset3[[#This Row],[Windspeed]]&lt;=0.1,"0.00 -0.10",dataset3[[#This Row],[Windspeed]]&lt;=0.2,"0.10-0.20",dataset3[[#This Row],[Windspeed]]&lt;=0.3,"0.20-0.30",dataset3[[#This Row],[Windspeed]]&lt;=0.4,"0.30-0.40",dataset3[[#This Row],[Windspeed]]&lt;=0.5,"0.40-0.50",dataset3[[#This Row],[Windspeed]]&lt;=0.6,"0.50-0.60")</f>
        <v>0.10-0.20</v>
      </c>
      <c r="R164" s="1" t="str" cm="1">
        <f t="array" ref="R16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65" spans="1:18" x14ac:dyDescent="0.25">
      <c r="A165" s="1">
        <v>783</v>
      </c>
      <c r="B165" s="3">
        <v>40579</v>
      </c>
      <c r="C165" s="1">
        <v>1</v>
      </c>
      <c r="D165" s="1">
        <v>1</v>
      </c>
      <c r="E165" s="1" t="s">
        <v>27</v>
      </c>
      <c r="F165" s="1">
        <v>6</v>
      </c>
      <c r="G165" s="1">
        <v>2</v>
      </c>
      <c r="H165" s="1" t="str">
        <f t="shared" si="2"/>
        <v>Saturday</v>
      </c>
      <c r="I165" s="1" t="str" cm="1">
        <f t="array" ref="I165">_xlfn.IFS(dataset3[[#This Row],[Weather sit]]=1,"1 Clear",dataset3[[#This Row],[Weather sit]]=2,"2 Misty/Cloudy",dataset3[[#This Row],[Weather sit]]=3,"3 Light Snow/Rain",dataset3[[#This Row],[Weather sit]]=4,"4 Heavy Snow/Rain")</f>
        <v>2 Misty/Cloudy</v>
      </c>
      <c r="J165" s="7">
        <v>0.24</v>
      </c>
      <c r="K165" s="7">
        <v>0.2424</v>
      </c>
      <c r="L165" s="7">
        <v>0.65</v>
      </c>
      <c r="M165" s="7">
        <v>0.16420000000000001</v>
      </c>
      <c r="N165" s="1">
        <v>1</v>
      </c>
      <c r="O165" s="1">
        <v>17</v>
      </c>
      <c r="P165" s="1">
        <v>18</v>
      </c>
      <c r="Q165" s="1" t="str" cm="1">
        <f t="array" ref="Q165">_xlfn.IFS(dataset3[[#This Row],[Windspeed]]&lt;=0.1,"0.00 -0.10",dataset3[[#This Row],[Windspeed]]&lt;=0.2,"0.10-0.20",dataset3[[#This Row],[Windspeed]]&lt;=0.3,"0.20-0.30",dataset3[[#This Row],[Windspeed]]&lt;=0.4,"0.30-0.40",dataset3[[#This Row],[Windspeed]]&lt;=0.5,"0.40-0.50",dataset3[[#This Row],[Windspeed]]&lt;=0.6,"0.50-0.60")</f>
        <v>0.10-0.20</v>
      </c>
      <c r="R165" s="1" t="str" cm="1">
        <f t="array" ref="R16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66" spans="1:18" x14ac:dyDescent="0.25">
      <c r="A166" s="1">
        <v>784</v>
      </c>
      <c r="B166" s="3">
        <v>40579</v>
      </c>
      <c r="C166" s="1">
        <v>1</v>
      </c>
      <c r="D166" s="1">
        <v>2</v>
      </c>
      <c r="E166" s="1" t="s">
        <v>27</v>
      </c>
      <c r="F166" s="1">
        <v>6</v>
      </c>
      <c r="G166" s="1">
        <v>2</v>
      </c>
      <c r="H166" s="1" t="str">
        <f t="shared" si="2"/>
        <v>Saturday</v>
      </c>
      <c r="I166" s="1" t="str" cm="1">
        <f t="array" ref="I166">_xlfn.IFS(dataset3[[#This Row],[Weather sit]]=1,"1 Clear",dataset3[[#This Row],[Weather sit]]=2,"2 Misty/Cloudy",dataset3[[#This Row],[Weather sit]]=3,"3 Light Snow/Rain",dataset3[[#This Row],[Weather sit]]=4,"4 Heavy Snow/Rain")</f>
        <v>2 Misty/Cloudy</v>
      </c>
      <c r="J166" s="7">
        <v>0.24</v>
      </c>
      <c r="K166" s="7">
        <v>0.2424</v>
      </c>
      <c r="L166" s="7">
        <v>0.75</v>
      </c>
      <c r="M166" s="7">
        <v>0.16420000000000001</v>
      </c>
      <c r="N166" s="1">
        <v>5</v>
      </c>
      <c r="O166" s="1">
        <v>12</v>
      </c>
      <c r="P166" s="1">
        <v>17</v>
      </c>
      <c r="Q166" s="1" t="str" cm="1">
        <f t="array" ref="Q166">_xlfn.IFS(dataset3[[#This Row],[Windspeed]]&lt;=0.1,"0.00 -0.10",dataset3[[#This Row],[Windspeed]]&lt;=0.2,"0.10-0.20",dataset3[[#This Row],[Windspeed]]&lt;=0.3,"0.20-0.30",dataset3[[#This Row],[Windspeed]]&lt;=0.4,"0.30-0.40",dataset3[[#This Row],[Windspeed]]&lt;=0.5,"0.40-0.50",dataset3[[#This Row],[Windspeed]]&lt;=0.6,"0.50-0.60")</f>
        <v>0.10-0.20</v>
      </c>
      <c r="R166" s="1" t="str" cm="1">
        <f t="array" ref="R16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167" spans="1:18" x14ac:dyDescent="0.25">
      <c r="A167" s="1">
        <v>785</v>
      </c>
      <c r="B167" s="3">
        <v>40579</v>
      </c>
      <c r="C167" s="1">
        <v>1</v>
      </c>
      <c r="D167" s="1">
        <v>3</v>
      </c>
      <c r="E167" s="1" t="s">
        <v>27</v>
      </c>
      <c r="F167" s="1">
        <v>6</v>
      </c>
      <c r="G167" s="1">
        <v>2</v>
      </c>
      <c r="H167" s="1" t="str">
        <f t="shared" si="2"/>
        <v>Saturday</v>
      </c>
      <c r="I167" s="1" t="str" cm="1">
        <f t="array" ref="I167">_xlfn.IFS(dataset3[[#This Row],[Weather sit]]=1,"1 Clear",dataset3[[#This Row],[Weather sit]]=2,"2 Misty/Cloudy",dataset3[[#This Row],[Weather sit]]=3,"3 Light Snow/Rain",dataset3[[#This Row],[Weather sit]]=4,"4 Heavy Snow/Rain")</f>
        <v>2 Misty/Cloudy</v>
      </c>
      <c r="J167" s="7">
        <v>0.24</v>
      </c>
      <c r="K167" s="7">
        <v>0.2424</v>
      </c>
      <c r="L167" s="7">
        <v>0.75</v>
      </c>
      <c r="M167" s="7">
        <v>0.16420000000000001</v>
      </c>
      <c r="N167" s="1">
        <v>1</v>
      </c>
      <c r="O167" s="1">
        <v>10</v>
      </c>
      <c r="P167" s="1">
        <v>11</v>
      </c>
      <c r="Q167" s="1" t="str" cm="1">
        <f t="array" ref="Q167">_xlfn.IFS(dataset3[[#This Row],[Windspeed]]&lt;=0.1,"0.00 -0.10",dataset3[[#This Row],[Windspeed]]&lt;=0.2,"0.10-0.20",dataset3[[#This Row],[Windspeed]]&lt;=0.3,"0.20-0.30",dataset3[[#This Row],[Windspeed]]&lt;=0.4,"0.30-0.40",dataset3[[#This Row],[Windspeed]]&lt;=0.5,"0.40-0.50",dataset3[[#This Row],[Windspeed]]&lt;=0.6,"0.50-0.60")</f>
        <v>0.10-0.20</v>
      </c>
      <c r="R167" s="1" t="str" cm="1">
        <f t="array" ref="R16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168" spans="1:18" x14ac:dyDescent="0.25">
      <c r="A168" s="1">
        <v>786</v>
      </c>
      <c r="B168" s="3">
        <v>40579</v>
      </c>
      <c r="C168" s="1">
        <v>1</v>
      </c>
      <c r="D168" s="1">
        <v>4</v>
      </c>
      <c r="E168" s="1" t="s">
        <v>27</v>
      </c>
      <c r="F168" s="1">
        <v>6</v>
      </c>
      <c r="G168" s="1">
        <v>3</v>
      </c>
      <c r="H168" s="1" t="str">
        <f t="shared" si="2"/>
        <v>Saturday</v>
      </c>
      <c r="I168" s="1" t="str" cm="1">
        <f t="array" ref="I168">_xlfn.IFS(dataset3[[#This Row],[Weather sit]]=1,"1 Clear",dataset3[[#This Row],[Weather sit]]=2,"2 Misty/Cloudy",dataset3[[#This Row],[Weather sit]]=3,"3 Light Snow/Rain",dataset3[[#This Row],[Weather sit]]=4,"4 Heavy Snow/Rain")</f>
        <v>3 Light Snow/Rain</v>
      </c>
      <c r="J168" s="7">
        <v>0.22</v>
      </c>
      <c r="K168" s="7">
        <v>0.2273</v>
      </c>
      <c r="L168" s="7">
        <v>0.93</v>
      </c>
      <c r="M168" s="7">
        <v>0.1343</v>
      </c>
      <c r="N168" s="1">
        <v>0</v>
      </c>
      <c r="O168" s="1">
        <v>8</v>
      </c>
      <c r="P168" s="1">
        <v>8</v>
      </c>
      <c r="Q168" s="1" t="str" cm="1">
        <f t="array" ref="Q168">_xlfn.IFS(dataset3[[#This Row],[Windspeed]]&lt;=0.1,"0.00 -0.10",dataset3[[#This Row],[Windspeed]]&lt;=0.2,"0.10-0.20",dataset3[[#This Row],[Windspeed]]&lt;=0.3,"0.20-0.30",dataset3[[#This Row],[Windspeed]]&lt;=0.4,"0.30-0.40",dataset3[[#This Row],[Windspeed]]&lt;=0.5,"0.40-0.50",dataset3[[#This Row],[Windspeed]]&lt;=0.6,"0.50-0.60")</f>
        <v>0.10-0.20</v>
      </c>
      <c r="R168" s="1" t="str" cm="1">
        <f t="array" ref="R16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69" spans="1:18" x14ac:dyDescent="0.25">
      <c r="A169" s="1">
        <v>787</v>
      </c>
      <c r="B169" s="3">
        <v>40579</v>
      </c>
      <c r="C169" s="1">
        <v>1</v>
      </c>
      <c r="D169" s="1">
        <v>5</v>
      </c>
      <c r="E169" s="1" t="s">
        <v>27</v>
      </c>
      <c r="F169" s="1">
        <v>6</v>
      </c>
      <c r="G169" s="1">
        <v>3</v>
      </c>
      <c r="H169" s="1" t="str">
        <f t="shared" si="2"/>
        <v>Saturday</v>
      </c>
      <c r="I169" s="1" t="str" cm="1">
        <f t="array" ref="I169">_xlfn.IFS(dataset3[[#This Row],[Weather sit]]=1,"1 Clear",dataset3[[#This Row],[Weather sit]]=2,"2 Misty/Cloudy",dataset3[[#This Row],[Weather sit]]=3,"3 Light Snow/Rain",dataset3[[#This Row],[Weather sit]]=4,"4 Heavy Snow/Rain")</f>
        <v>3 Light Snow/Rain</v>
      </c>
      <c r="J169" s="7">
        <v>0.2</v>
      </c>
      <c r="K169" s="7">
        <v>0.2273</v>
      </c>
      <c r="L169" s="7">
        <v>1</v>
      </c>
      <c r="M169" s="7">
        <v>8.9599999999999999E-2</v>
      </c>
      <c r="N169" s="1">
        <v>0</v>
      </c>
      <c r="O169" s="1">
        <v>9</v>
      </c>
      <c r="P169" s="1">
        <v>9</v>
      </c>
      <c r="Q169" s="1" t="str" cm="1">
        <f t="array" ref="Q169">_xlfn.IFS(dataset3[[#This Row],[Windspeed]]&lt;=0.1,"0.00 -0.10",dataset3[[#This Row],[Windspeed]]&lt;=0.2,"0.10-0.20",dataset3[[#This Row],[Windspeed]]&lt;=0.3,"0.20-0.30",dataset3[[#This Row],[Windspeed]]&lt;=0.4,"0.30-0.40",dataset3[[#This Row],[Windspeed]]&lt;=0.5,"0.40-0.50",dataset3[[#This Row],[Windspeed]]&lt;=0.6,"0.50-0.60")</f>
        <v>0.00 -0.10</v>
      </c>
      <c r="R169" s="1" t="str" cm="1">
        <f t="array" ref="R16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70" spans="1:18" x14ac:dyDescent="0.25">
      <c r="A170" s="1">
        <v>788</v>
      </c>
      <c r="B170" s="3">
        <v>40579</v>
      </c>
      <c r="C170" s="1">
        <v>1</v>
      </c>
      <c r="D170" s="1">
        <v>6</v>
      </c>
      <c r="E170" s="1" t="s">
        <v>27</v>
      </c>
      <c r="F170" s="1">
        <v>6</v>
      </c>
      <c r="G170" s="1">
        <v>3</v>
      </c>
      <c r="H170" s="1" t="str">
        <f t="shared" si="2"/>
        <v>Saturday</v>
      </c>
      <c r="I170" s="1" t="str" cm="1">
        <f t="array" ref="I170">_xlfn.IFS(dataset3[[#This Row],[Weather sit]]=1,"1 Clear",dataset3[[#This Row],[Weather sit]]=2,"2 Misty/Cloudy",dataset3[[#This Row],[Weather sit]]=3,"3 Light Snow/Rain",dataset3[[#This Row],[Weather sit]]=4,"4 Heavy Snow/Rain")</f>
        <v>3 Light Snow/Rain</v>
      </c>
      <c r="J170" s="7">
        <v>0.2</v>
      </c>
      <c r="K170" s="7">
        <v>0.2576</v>
      </c>
      <c r="L170" s="7">
        <v>1</v>
      </c>
      <c r="M170" s="7">
        <v>0</v>
      </c>
      <c r="N170" s="1">
        <v>0</v>
      </c>
      <c r="O170" s="1">
        <v>4</v>
      </c>
      <c r="P170" s="1">
        <v>4</v>
      </c>
      <c r="Q170" s="1" t="str" cm="1">
        <f t="array" ref="Q170">_xlfn.IFS(dataset3[[#This Row],[Windspeed]]&lt;=0.1,"0.00 -0.10",dataset3[[#This Row],[Windspeed]]&lt;=0.2,"0.10-0.20",dataset3[[#This Row],[Windspeed]]&lt;=0.3,"0.20-0.30",dataset3[[#This Row],[Windspeed]]&lt;=0.4,"0.30-0.40",dataset3[[#This Row],[Windspeed]]&lt;=0.5,"0.40-0.50",dataset3[[#This Row],[Windspeed]]&lt;=0.6,"0.50-0.60")</f>
        <v>0.00 -0.10</v>
      </c>
      <c r="R170" s="1" t="str" cm="1">
        <f t="array" ref="R17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71" spans="1:18" x14ac:dyDescent="0.25">
      <c r="A171" s="1">
        <v>789</v>
      </c>
      <c r="B171" s="3">
        <v>40579</v>
      </c>
      <c r="C171" s="1">
        <v>1</v>
      </c>
      <c r="D171" s="1">
        <v>7</v>
      </c>
      <c r="E171" s="1" t="s">
        <v>27</v>
      </c>
      <c r="F171" s="1">
        <v>6</v>
      </c>
      <c r="G171" s="1">
        <v>3</v>
      </c>
      <c r="H171" s="1" t="str">
        <f t="shared" si="2"/>
        <v>Saturday</v>
      </c>
      <c r="I171" s="1" t="str" cm="1">
        <f t="array" ref="I171">_xlfn.IFS(dataset3[[#This Row],[Weather sit]]=1,"1 Clear",dataset3[[#This Row],[Weather sit]]=2,"2 Misty/Cloudy",dataset3[[#This Row],[Weather sit]]=3,"3 Light Snow/Rain",dataset3[[#This Row],[Weather sit]]=4,"4 Heavy Snow/Rain")</f>
        <v>3 Light Snow/Rain</v>
      </c>
      <c r="J171" s="7">
        <v>0.22</v>
      </c>
      <c r="K171" s="7">
        <v>0.2576</v>
      </c>
      <c r="L171" s="7">
        <v>0.93</v>
      </c>
      <c r="M171" s="7">
        <v>8.9599999999999999E-2</v>
      </c>
      <c r="N171" s="1">
        <v>0</v>
      </c>
      <c r="O171" s="1">
        <v>4</v>
      </c>
      <c r="P171" s="1">
        <v>4</v>
      </c>
      <c r="Q171" s="1" t="str" cm="1">
        <f t="array" ref="Q171">_xlfn.IFS(dataset3[[#This Row],[Windspeed]]&lt;=0.1,"0.00 -0.10",dataset3[[#This Row],[Windspeed]]&lt;=0.2,"0.10-0.20",dataset3[[#This Row],[Windspeed]]&lt;=0.3,"0.20-0.30",dataset3[[#This Row],[Windspeed]]&lt;=0.4,"0.30-0.40",dataset3[[#This Row],[Windspeed]]&lt;=0.5,"0.40-0.50",dataset3[[#This Row],[Windspeed]]&lt;=0.6,"0.50-0.60")</f>
        <v>0.00 -0.10</v>
      </c>
      <c r="R171" s="1" t="str" cm="1">
        <f t="array" ref="R17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72" spans="1:18" x14ac:dyDescent="0.25">
      <c r="A172" s="1">
        <v>790</v>
      </c>
      <c r="B172" s="3">
        <v>40579</v>
      </c>
      <c r="C172" s="1">
        <v>1</v>
      </c>
      <c r="D172" s="1">
        <v>8</v>
      </c>
      <c r="E172" s="1" t="s">
        <v>27</v>
      </c>
      <c r="F172" s="1">
        <v>6</v>
      </c>
      <c r="G172" s="1">
        <v>3</v>
      </c>
      <c r="H172" s="1" t="str">
        <f t="shared" si="2"/>
        <v>Saturday</v>
      </c>
      <c r="I172" s="1" t="str" cm="1">
        <f t="array" ref="I172">_xlfn.IFS(dataset3[[#This Row],[Weather sit]]=1,"1 Clear",dataset3[[#This Row],[Weather sit]]=2,"2 Misty/Cloudy",dataset3[[#This Row],[Weather sit]]=3,"3 Light Snow/Rain",dataset3[[#This Row],[Weather sit]]=4,"4 Heavy Snow/Rain")</f>
        <v>3 Light Snow/Rain</v>
      </c>
      <c r="J172" s="7">
        <v>0.2</v>
      </c>
      <c r="K172" s="7">
        <v>0.2273</v>
      </c>
      <c r="L172" s="7">
        <v>1</v>
      </c>
      <c r="M172" s="7">
        <v>8.9599999999999999E-2</v>
      </c>
      <c r="N172" s="1">
        <v>0</v>
      </c>
      <c r="O172" s="1">
        <v>10</v>
      </c>
      <c r="P172" s="1">
        <v>10</v>
      </c>
      <c r="Q172" s="1" t="str" cm="1">
        <f t="array" ref="Q172">_xlfn.IFS(dataset3[[#This Row],[Windspeed]]&lt;=0.1,"0.00 -0.10",dataset3[[#This Row],[Windspeed]]&lt;=0.2,"0.10-0.20",dataset3[[#This Row],[Windspeed]]&lt;=0.3,"0.20-0.30",dataset3[[#This Row],[Windspeed]]&lt;=0.4,"0.30-0.40",dataset3[[#This Row],[Windspeed]]&lt;=0.5,"0.40-0.50",dataset3[[#This Row],[Windspeed]]&lt;=0.6,"0.50-0.60")</f>
        <v>0.00 -0.10</v>
      </c>
      <c r="R172" s="1" t="str" cm="1">
        <f t="array" ref="R17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73" spans="1:18" x14ac:dyDescent="0.25">
      <c r="A173" s="1">
        <v>791</v>
      </c>
      <c r="B173" s="3">
        <v>40579</v>
      </c>
      <c r="C173" s="1">
        <v>1</v>
      </c>
      <c r="D173" s="1">
        <v>9</v>
      </c>
      <c r="E173" s="1" t="s">
        <v>27</v>
      </c>
      <c r="F173" s="1">
        <v>6</v>
      </c>
      <c r="G173" s="1">
        <v>3</v>
      </c>
      <c r="H173" s="1" t="str">
        <f t="shared" si="2"/>
        <v>Saturday</v>
      </c>
      <c r="I173" s="1" t="str" cm="1">
        <f t="array" ref="I173">_xlfn.IFS(dataset3[[#This Row],[Weather sit]]=1,"1 Clear",dataset3[[#This Row],[Weather sit]]=2,"2 Misty/Cloudy",dataset3[[#This Row],[Weather sit]]=3,"3 Light Snow/Rain",dataset3[[#This Row],[Weather sit]]=4,"4 Heavy Snow/Rain")</f>
        <v>3 Light Snow/Rain</v>
      </c>
      <c r="J173" s="7">
        <v>0.2</v>
      </c>
      <c r="K173" s="7">
        <v>0.2273</v>
      </c>
      <c r="L173" s="7">
        <v>1</v>
      </c>
      <c r="M173" s="7">
        <v>8.9599999999999999E-2</v>
      </c>
      <c r="N173" s="1">
        <v>3</v>
      </c>
      <c r="O173" s="1">
        <v>17</v>
      </c>
      <c r="P173" s="1">
        <v>20</v>
      </c>
      <c r="Q173" s="1" t="str" cm="1">
        <f t="array" ref="Q173">_xlfn.IFS(dataset3[[#This Row],[Windspeed]]&lt;=0.1,"0.00 -0.10",dataset3[[#This Row],[Windspeed]]&lt;=0.2,"0.10-0.20",dataset3[[#This Row],[Windspeed]]&lt;=0.3,"0.20-0.30",dataset3[[#This Row],[Windspeed]]&lt;=0.4,"0.30-0.40",dataset3[[#This Row],[Windspeed]]&lt;=0.5,"0.40-0.50",dataset3[[#This Row],[Windspeed]]&lt;=0.6,"0.50-0.60")</f>
        <v>0.00 -0.10</v>
      </c>
      <c r="R173" s="1" t="str" cm="1">
        <f t="array" ref="R17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74" spans="1:18" x14ac:dyDescent="0.25">
      <c r="A174" s="1">
        <v>792</v>
      </c>
      <c r="B174" s="3">
        <v>40579</v>
      </c>
      <c r="C174" s="1">
        <v>1</v>
      </c>
      <c r="D174" s="1">
        <v>10</v>
      </c>
      <c r="E174" s="1" t="s">
        <v>27</v>
      </c>
      <c r="F174" s="1">
        <v>6</v>
      </c>
      <c r="G174" s="1">
        <v>3</v>
      </c>
      <c r="H174" s="1" t="str">
        <f t="shared" si="2"/>
        <v>Saturday</v>
      </c>
      <c r="I174" s="1" t="str" cm="1">
        <f t="array" ref="I174">_xlfn.IFS(dataset3[[#This Row],[Weather sit]]=1,"1 Clear",dataset3[[#This Row],[Weather sit]]=2,"2 Misty/Cloudy",dataset3[[#This Row],[Weather sit]]=3,"3 Light Snow/Rain",dataset3[[#This Row],[Weather sit]]=4,"4 Heavy Snow/Rain")</f>
        <v>3 Light Snow/Rain</v>
      </c>
      <c r="J174" s="7">
        <v>0.2</v>
      </c>
      <c r="K174" s="7">
        <v>0.21210000000000001</v>
      </c>
      <c r="L174" s="7">
        <v>1</v>
      </c>
      <c r="M174" s="7">
        <v>0.1343</v>
      </c>
      <c r="N174" s="1">
        <v>3</v>
      </c>
      <c r="O174" s="1">
        <v>31</v>
      </c>
      <c r="P174" s="1">
        <v>34</v>
      </c>
      <c r="Q174" s="1" t="str" cm="1">
        <f t="array" ref="Q174">_xlfn.IFS(dataset3[[#This Row],[Windspeed]]&lt;=0.1,"0.00 -0.10",dataset3[[#This Row],[Windspeed]]&lt;=0.2,"0.10-0.20",dataset3[[#This Row],[Windspeed]]&lt;=0.3,"0.20-0.30",dataset3[[#This Row],[Windspeed]]&lt;=0.4,"0.30-0.40",dataset3[[#This Row],[Windspeed]]&lt;=0.5,"0.40-0.50",dataset3[[#This Row],[Windspeed]]&lt;=0.6,"0.50-0.60")</f>
        <v>0.10-0.20</v>
      </c>
      <c r="R174" s="1" t="str" cm="1">
        <f t="array" ref="R17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75" spans="1:18" x14ac:dyDescent="0.25">
      <c r="A175" s="1">
        <v>793</v>
      </c>
      <c r="B175" s="3">
        <v>40579</v>
      </c>
      <c r="C175" s="1">
        <v>1</v>
      </c>
      <c r="D175" s="1">
        <v>11</v>
      </c>
      <c r="E175" s="1" t="s">
        <v>27</v>
      </c>
      <c r="F175" s="1">
        <v>6</v>
      </c>
      <c r="G175" s="1">
        <v>3</v>
      </c>
      <c r="H175" s="1" t="str">
        <f t="shared" si="2"/>
        <v>Saturday</v>
      </c>
      <c r="I175" s="1" t="str" cm="1">
        <f t="array" ref="I175">_xlfn.IFS(dataset3[[#This Row],[Weather sit]]=1,"1 Clear",dataset3[[#This Row],[Weather sit]]=2,"2 Misty/Cloudy",dataset3[[#This Row],[Weather sit]]=3,"3 Light Snow/Rain",dataset3[[#This Row],[Weather sit]]=4,"4 Heavy Snow/Rain")</f>
        <v>3 Light Snow/Rain</v>
      </c>
      <c r="J175" s="7">
        <v>0.22</v>
      </c>
      <c r="K175" s="7">
        <v>0.2273</v>
      </c>
      <c r="L175" s="7">
        <v>1</v>
      </c>
      <c r="M175" s="7">
        <v>0.1343</v>
      </c>
      <c r="N175" s="1">
        <v>1</v>
      </c>
      <c r="O175" s="1">
        <v>46</v>
      </c>
      <c r="P175" s="1">
        <v>47</v>
      </c>
      <c r="Q175" s="1" t="str" cm="1">
        <f t="array" ref="Q175">_xlfn.IFS(dataset3[[#This Row],[Windspeed]]&lt;=0.1,"0.00 -0.10",dataset3[[#This Row],[Windspeed]]&lt;=0.2,"0.10-0.20",dataset3[[#This Row],[Windspeed]]&lt;=0.3,"0.20-0.30",dataset3[[#This Row],[Windspeed]]&lt;=0.4,"0.30-0.40",dataset3[[#This Row],[Windspeed]]&lt;=0.5,"0.40-0.50",dataset3[[#This Row],[Windspeed]]&lt;=0.6,"0.50-0.60")</f>
        <v>0.10-0.20</v>
      </c>
      <c r="R175" s="1" t="str" cm="1">
        <f t="array" ref="R17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76" spans="1:18" x14ac:dyDescent="0.25">
      <c r="A176" s="1">
        <v>794</v>
      </c>
      <c r="B176" s="3">
        <v>40579</v>
      </c>
      <c r="C176" s="1">
        <v>1</v>
      </c>
      <c r="D176" s="1">
        <v>12</v>
      </c>
      <c r="E176" s="1" t="s">
        <v>27</v>
      </c>
      <c r="F176" s="1">
        <v>6</v>
      </c>
      <c r="G176" s="1">
        <v>3</v>
      </c>
      <c r="H176" s="1" t="str">
        <f t="shared" si="2"/>
        <v>Saturday</v>
      </c>
      <c r="I176" s="1" t="str" cm="1">
        <f t="array" ref="I176">_xlfn.IFS(dataset3[[#This Row],[Weather sit]]=1,"1 Clear",dataset3[[#This Row],[Weather sit]]=2,"2 Misty/Cloudy",dataset3[[#This Row],[Weather sit]]=3,"3 Light Snow/Rain",dataset3[[#This Row],[Weather sit]]=4,"4 Heavy Snow/Rain")</f>
        <v>3 Light Snow/Rain</v>
      </c>
      <c r="J176" s="7">
        <v>0.22</v>
      </c>
      <c r="K176" s="7">
        <v>0.2273</v>
      </c>
      <c r="L176" s="7">
        <v>1</v>
      </c>
      <c r="M176" s="7">
        <v>0.16420000000000001</v>
      </c>
      <c r="N176" s="1">
        <v>10</v>
      </c>
      <c r="O176" s="1">
        <v>42</v>
      </c>
      <c r="P176" s="1">
        <v>52</v>
      </c>
      <c r="Q176" s="1" t="str" cm="1">
        <f t="array" ref="Q176">_xlfn.IFS(dataset3[[#This Row],[Windspeed]]&lt;=0.1,"0.00 -0.10",dataset3[[#This Row],[Windspeed]]&lt;=0.2,"0.10-0.20",dataset3[[#This Row],[Windspeed]]&lt;=0.3,"0.20-0.30",dataset3[[#This Row],[Windspeed]]&lt;=0.4,"0.30-0.40",dataset3[[#This Row],[Windspeed]]&lt;=0.5,"0.40-0.50",dataset3[[#This Row],[Windspeed]]&lt;=0.6,"0.50-0.60")</f>
        <v>0.10-0.20</v>
      </c>
      <c r="R176" s="1" t="str" cm="1">
        <f t="array" ref="R17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77" spans="1:18" x14ac:dyDescent="0.25">
      <c r="A177" s="1">
        <v>795</v>
      </c>
      <c r="B177" s="3">
        <v>40579</v>
      </c>
      <c r="C177" s="1">
        <v>1</v>
      </c>
      <c r="D177" s="1">
        <v>13</v>
      </c>
      <c r="E177" s="1" t="s">
        <v>27</v>
      </c>
      <c r="F177" s="1">
        <v>6</v>
      </c>
      <c r="G177" s="1">
        <v>3</v>
      </c>
      <c r="H177" s="1" t="str">
        <f t="shared" si="2"/>
        <v>Saturday</v>
      </c>
      <c r="I177" s="1" t="str" cm="1">
        <f t="array" ref="I177">_xlfn.IFS(dataset3[[#This Row],[Weather sit]]=1,"1 Clear",dataset3[[#This Row],[Weather sit]]=2,"2 Misty/Cloudy",dataset3[[#This Row],[Weather sit]]=3,"3 Light Snow/Rain",dataset3[[#This Row],[Weather sit]]=4,"4 Heavy Snow/Rain")</f>
        <v>3 Light Snow/Rain</v>
      </c>
      <c r="J177" s="7">
        <v>0.22</v>
      </c>
      <c r="K177" s="7">
        <v>0.2273</v>
      </c>
      <c r="L177" s="7">
        <v>1</v>
      </c>
      <c r="M177" s="7">
        <v>0.16420000000000001</v>
      </c>
      <c r="N177" s="1">
        <v>10</v>
      </c>
      <c r="O177" s="1">
        <v>62</v>
      </c>
      <c r="P177" s="1">
        <v>72</v>
      </c>
      <c r="Q177" s="1" t="str" cm="1">
        <f t="array" ref="Q177">_xlfn.IFS(dataset3[[#This Row],[Windspeed]]&lt;=0.1,"0.00 -0.10",dataset3[[#This Row],[Windspeed]]&lt;=0.2,"0.10-0.20",dataset3[[#This Row],[Windspeed]]&lt;=0.3,"0.20-0.30",dataset3[[#This Row],[Windspeed]]&lt;=0.4,"0.30-0.40",dataset3[[#This Row],[Windspeed]]&lt;=0.5,"0.40-0.50",dataset3[[#This Row],[Windspeed]]&lt;=0.6,"0.50-0.60")</f>
        <v>0.10-0.20</v>
      </c>
      <c r="R177" s="1" t="str" cm="1">
        <f t="array" ref="R17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78" spans="1:18" x14ac:dyDescent="0.25">
      <c r="A178" s="1">
        <v>796</v>
      </c>
      <c r="B178" s="3">
        <v>40579</v>
      </c>
      <c r="C178" s="1">
        <v>1</v>
      </c>
      <c r="D178" s="1">
        <v>14</v>
      </c>
      <c r="E178" s="1" t="s">
        <v>27</v>
      </c>
      <c r="F178" s="1">
        <v>6</v>
      </c>
      <c r="G178" s="1">
        <v>3</v>
      </c>
      <c r="H178" s="1" t="str">
        <f t="shared" si="2"/>
        <v>Saturday</v>
      </c>
      <c r="I178" s="1" t="str" cm="1">
        <f t="array" ref="I178">_xlfn.IFS(dataset3[[#This Row],[Weather sit]]=1,"1 Clear",dataset3[[#This Row],[Weather sit]]=2,"2 Misty/Cloudy",dataset3[[#This Row],[Weather sit]]=3,"3 Light Snow/Rain",dataset3[[#This Row],[Weather sit]]=4,"4 Heavy Snow/Rain")</f>
        <v>3 Light Snow/Rain</v>
      </c>
      <c r="J178" s="7">
        <v>0.22</v>
      </c>
      <c r="K178" s="7">
        <v>0.2727</v>
      </c>
      <c r="L178" s="7">
        <v>1</v>
      </c>
      <c r="M178" s="7">
        <v>0</v>
      </c>
      <c r="N178" s="1">
        <v>5</v>
      </c>
      <c r="O178" s="1">
        <v>50</v>
      </c>
      <c r="P178" s="1">
        <v>55</v>
      </c>
      <c r="Q178" s="1" t="str" cm="1">
        <f t="array" ref="Q178">_xlfn.IFS(dataset3[[#This Row],[Windspeed]]&lt;=0.1,"0.00 -0.10",dataset3[[#This Row],[Windspeed]]&lt;=0.2,"0.10-0.20",dataset3[[#This Row],[Windspeed]]&lt;=0.3,"0.20-0.30",dataset3[[#This Row],[Windspeed]]&lt;=0.4,"0.30-0.40",dataset3[[#This Row],[Windspeed]]&lt;=0.5,"0.40-0.50",dataset3[[#This Row],[Windspeed]]&lt;=0.6,"0.50-0.60")</f>
        <v>0.00 -0.10</v>
      </c>
      <c r="R178" s="1" t="str" cm="1">
        <f t="array" ref="R17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79" spans="1:18" x14ac:dyDescent="0.25">
      <c r="A179" s="1">
        <v>797</v>
      </c>
      <c r="B179" s="3">
        <v>40579</v>
      </c>
      <c r="C179" s="1">
        <v>1</v>
      </c>
      <c r="D179" s="1">
        <v>15</v>
      </c>
      <c r="E179" s="1" t="s">
        <v>27</v>
      </c>
      <c r="F179" s="1">
        <v>6</v>
      </c>
      <c r="G179" s="1">
        <v>3</v>
      </c>
      <c r="H179" s="1" t="str">
        <f t="shared" si="2"/>
        <v>Saturday</v>
      </c>
      <c r="I179" s="1" t="str" cm="1">
        <f t="array" ref="I179">_xlfn.IFS(dataset3[[#This Row],[Weather sit]]=1,"1 Clear",dataset3[[#This Row],[Weather sit]]=2,"2 Misty/Cloudy",dataset3[[#This Row],[Weather sit]]=3,"3 Light Snow/Rain",dataset3[[#This Row],[Weather sit]]=4,"4 Heavy Snow/Rain")</f>
        <v>3 Light Snow/Rain</v>
      </c>
      <c r="J179" s="7">
        <v>0.22</v>
      </c>
      <c r="K179" s="7">
        <v>0.2727</v>
      </c>
      <c r="L179" s="7">
        <v>1</v>
      </c>
      <c r="M179" s="7">
        <v>0</v>
      </c>
      <c r="N179" s="1">
        <v>11</v>
      </c>
      <c r="O179" s="1">
        <v>49</v>
      </c>
      <c r="P179" s="1">
        <v>60</v>
      </c>
      <c r="Q179" s="1" t="str" cm="1">
        <f t="array" ref="Q179">_xlfn.IFS(dataset3[[#This Row],[Windspeed]]&lt;=0.1,"0.00 -0.10",dataset3[[#This Row],[Windspeed]]&lt;=0.2,"0.10-0.20",dataset3[[#This Row],[Windspeed]]&lt;=0.3,"0.20-0.30",dataset3[[#This Row],[Windspeed]]&lt;=0.4,"0.30-0.40",dataset3[[#This Row],[Windspeed]]&lt;=0.5,"0.40-0.50",dataset3[[#This Row],[Windspeed]]&lt;=0.6,"0.50-0.60")</f>
        <v>0.00 -0.10</v>
      </c>
      <c r="R179" s="1" t="str" cm="1">
        <f t="array" ref="R17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80" spans="1:18" x14ac:dyDescent="0.25">
      <c r="A180" s="1">
        <v>798</v>
      </c>
      <c r="B180" s="3">
        <v>40579</v>
      </c>
      <c r="C180" s="1">
        <v>1</v>
      </c>
      <c r="D180" s="1">
        <v>16</v>
      </c>
      <c r="E180" s="1" t="s">
        <v>27</v>
      </c>
      <c r="F180" s="1">
        <v>6</v>
      </c>
      <c r="G180" s="1">
        <v>3</v>
      </c>
      <c r="H180" s="1" t="str">
        <f t="shared" si="2"/>
        <v>Saturday</v>
      </c>
      <c r="I180" s="1" t="str" cm="1">
        <f t="array" ref="I180">_xlfn.IFS(dataset3[[#This Row],[Weather sit]]=1,"1 Clear",dataset3[[#This Row],[Weather sit]]=2,"2 Misty/Cloudy",dataset3[[#This Row],[Weather sit]]=3,"3 Light Snow/Rain",dataset3[[#This Row],[Weather sit]]=4,"4 Heavy Snow/Rain")</f>
        <v>3 Light Snow/Rain</v>
      </c>
      <c r="J180" s="7">
        <v>0.22</v>
      </c>
      <c r="K180" s="7">
        <v>0.2273</v>
      </c>
      <c r="L180" s="7">
        <v>1</v>
      </c>
      <c r="M180" s="7">
        <v>0.1343</v>
      </c>
      <c r="N180" s="1">
        <v>8</v>
      </c>
      <c r="O180" s="1">
        <v>63</v>
      </c>
      <c r="P180" s="1">
        <v>71</v>
      </c>
      <c r="Q180" s="1" t="str" cm="1">
        <f t="array" ref="Q180">_xlfn.IFS(dataset3[[#This Row],[Windspeed]]&lt;=0.1,"0.00 -0.10",dataset3[[#This Row],[Windspeed]]&lt;=0.2,"0.10-0.20",dataset3[[#This Row],[Windspeed]]&lt;=0.3,"0.20-0.30",dataset3[[#This Row],[Windspeed]]&lt;=0.4,"0.30-0.40",dataset3[[#This Row],[Windspeed]]&lt;=0.5,"0.40-0.50",dataset3[[#This Row],[Windspeed]]&lt;=0.6,"0.50-0.60")</f>
        <v>0.10-0.20</v>
      </c>
      <c r="R180" s="1" t="str" cm="1">
        <f t="array" ref="R18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81" spans="1:18" x14ac:dyDescent="0.25">
      <c r="A181" s="1">
        <v>799</v>
      </c>
      <c r="B181" s="3">
        <v>40579</v>
      </c>
      <c r="C181" s="1">
        <v>1</v>
      </c>
      <c r="D181" s="1">
        <v>17</v>
      </c>
      <c r="E181" s="1" t="s">
        <v>27</v>
      </c>
      <c r="F181" s="1">
        <v>6</v>
      </c>
      <c r="G181" s="1">
        <v>2</v>
      </c>
      <c r="H181" s="1" t="str">
        <f t="shared" si="2"/>
        <v>Saturday</v>
      </c>
      <c r="I181" s="1" t="str" cm="1">
        <f t="array" ref="I181">_xlfn.IFS(dataset3[[#This Row],[Weather sit]]=1,"1 Clear",dataset3[[#This Row],[Weather sit]]=2,"2 Misty/Cloudy",dataset3[[#This Row],[Weather sit]]=3,"3 Light Snow/Rain",dataset3[[#This Row],[Weather sit]]=4,"4 Heavy Snow/Rain")</f>
        <v>2 Misty/Cloudy</v>
      </c>
      <c r="J181" s="7">
        <v>0.24</v>
      </c>
      <c r="K181" s="7">
        <v>0.21210000000000001</v>
      </c>
      <c r="L181" s="7">
        <v>1</v>
      </c>
      <c r="M181" s="7">
        <v>0.28360000000000002</v>
      </c>
      <c r="N181" s="1">
        <v>14</v>
      </c>
      <c r="O181" s="1">
        <v>64</v>
      </c>
      <c r="P181" s="1">
        <v>78</v>
      </c>
      <c r="Q181" s="1" t="str" cm="1">
        <f t="array" ref="Q181">_xlfn.IFS(dataset3[[#This Row],[Windspeed]]&lt;=0.1,"0.00 -0.10",dataset3[[#This Row],[Windspeed]]&lt;=0.2,"0.10-0.20",dataset3[[#This Row],[Windspeed]]&lt;=0.3,"0.20-0.30",dataset3[[#This Row],[Windspeed]]&lt;=0.4,"0.30-0.40",dataset3[[#This Row],[Windspeed]]&lt;=0.5,"0.40-0.50",dataset3[[#This Row],[Windspeed]]&lt;=0.6,"0.50-0.60")</f>
        <v>0.20-0.30</v>
      </c>
      <c r="R181" s="1" t="str" cm="1">
        <f t="array" ref="R18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82" spans="1:18" x14ac:dyDescent="0.25">
      <c r="A182" s="1">
        <v>800</v>
      </c>
      <c r="B182" s="3">
        <v>40579</v>
      </c>
      <c r="C182" s="1">
        <v>1</v>
      </c>
      <c r="D182" s="1">
        <v>18</v>
      </c>
      <c r="E182" s="1" t="s">
        <v>27</v>
      </c>
      <c r="F182" s="1">
        <v>6</v>
      </c>
      <c r="G182" s="1">
        <v>2</v>
      </c>
      <c r="H182" s="1" t="str">
        <f t="shared" si="2"/>
        <v>Saturday</v>
      </c>
      <c r="I182" s="1" t="str" cm="1">
        <f t="array" ref="I182">_xlfn.IFS(dataset3[[#This Row],[Weather sit]]=1,"1 Clear",dataset3[[#This Row],[Weather sit]]=2,"2 Misty/Cloudy",dataset3[[#This Row],[Weather sit]]=3,"3 Light Snow/Rain",dataset3[[#This Row],[Weather sit]]=4,"4 Heavy Snow/Rain")</f>
        <v>2 Misty/Cloudy</v>
      </c>
      <c r="J182" s="7">
        <v>0.28000000000000003</v>
      </c>
      <c r="K182" s="7">
        <v>0.2424</v>
      </c>
      <c r="L182" s="7">
        <v>0.93</v>
      </c>
      <c r="M182" s="7">
        <v>0.44779999999999998</v>
      </c>
      <c r="N182" s="1">
        <v>2</v>
      </c>
      <c r="O182" s="1">
        <v>81</v>
      </c>
      <c r="P182" s="1">
        <v>83</v>
      </c>
      <c r="Q182" s="1" t="str" cm="1">
        <f t="array" ref="Q182">_xlfn.IFS(dataset3[[#This Row],[Windspeed]]&lt;=0.1,"0.00 -0.10",dataset3[[#This Row],[Windspeed]]&lt;=0.2,"0.10-0.20",dataset3[[#This Row],[Windspeed]]&lt;=0.3,"0.20-0.30",dataset3[[#This Row],[Windspeed]]&lt;=0.4,"0.30-0.40",dataset3[[#This Row],[Windspeed]]&lt;=0.5,"0.40-0.50",dataset3[[#This Row],[Windspeed]]&lt;=0.6,"0.50-0.60")</f>
        <v>0.40-0.50</v>
      </c>
      <c r="R182" s="1" t="str" cm="1">
        <f t="array" ref="R18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83" spans="1:18" x14ac:dyDescent="0.25">
      <c r="A183" s="1">
        <v>801</v>
      </c>
      <c r="B183" s="3">
        <v>40579</v>
      </c>
      <c r="C183" s="1">
        <v>1</v>
      </c>
      <c r="D183" s="1">
        <v>19</v>
      </c>
      <c r="E183" s="1" t="s">
        <v>27</v>
      </c>
      <c r="F183" s="1">
        <v>6</v>
      </c>
      <c r="G183" s="1">
        <v>2</v>
      </c>
      <c r="H183" s="1" t="str">
        <f t="shared" si="2"/>
        <v>Saturday</v>
      </c>
      <c r="I183" s="1" t="str" cm="1">
        <f t="array" ref="I183">_xlfn.IFS(dataset3[[#This Row],[Weather sit]]=1,"1 Clear",dataset3[[#This Row],[Weather sit]]=2,"2 Misty/Cloudy",dataset3[[#This Row],[Weather sit]]=3,"3 Light Snow/Rain",dataset3[[#This Row],[Weather sit]]=4,"4 Heavy Snow/Rain")</f>
        <v>2 Misty/Cloudy</v>
      </c>
      <c r="J183" s="7">
        <v>0.28000000000000003</v>
      </c>
      <c r="K183" s="7">
        <v>0.2424</v>
      </c>
      <c r="L183" s="7">
        <v>0.93</v>
      </c>
      <c r="M183" s="7">
        <v>0.44779999999999998</v>
      </c>
      <c r="N183" s="1">
        <v>6</v>
      </c>
      <c r="O183" s="1">
        <v>78</v>
      </c>
      <c r="P183" s="1">
        <v>84</v>
      </c>
      <c r="Q183" s="1" t="str" cm="1">
        <f t="array" ref="Q183">_xlfn.IFS(dataset3[[#This Row],[Windspeed]]&lt;=0.1,"0.00 -0.10",dataset3[[#This Row],[Windspeed]]&lt;=0.2,"0.10-0.20",dataset3[[#This Row],[Windspeed]]&lt;=0.3,"0.20-0.30",dataset3[[#This Row],[Windspeed]]&lt;=0.4,"0.30-0.40",dataset3[[#This Row],[Windspeed]]&lt;=0.5,"0.40-0.50",dataset3[[#This Row],[Windspeed]]&lt;=0.6,"0.50-0.60")</f>
        <v>0.40-0.50</v>
      </c>
      <c r="R183" s="1" t="str" cm="1">
        <f t="array" ref="R18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84" spans="1:18" x14ac:dyDescent="0.25">
      <c r="A184" s="1">
        <v>802</v>
      </c>
      <c r="B184" s="3">
        <v>40579</v>
      </c>
      <c r="C184" s="1">
        <v>1</v>
      </c>
      <c r="D184" s="1">
        <v>20</v>
      </c>
      <c r="E184" s="1" t="s">
        <v>27</v>
      </c>
      <c r="F184" s="1">
        <v>6</v>
      </c>
      <c r="G184" s="1">
        <v>1</v>
      </c>
      <c r="H184" s="1" t="str">
        <f t="shared" si="2"/>
        <v>Saturday</v>
      </c>
      <c r="I184" s="1" t="str" cm="1">
        <f t="array" ref="I184">_xlfn.IFS(dataset3[[#This Row],[Weather sit]]=1,"1 Clear",dataset3[[#This Row],[Weather sit]]=2,"2 Misty/Cloudy",dataset3[[#This Row],[Weather sit]]=3,"3 Light Snow/Rain",dataset3[[#This Row],[Weather sit]]=4,"4 Heavy Snow/Rain")</f>
        <v>1 Clear</v>
      </c>
      <c r="J184" s="7">
        <v>0.3</v>
      </c>
      <c r="K184" s="7">
        <v>0.28789999999999999</v>
      </c>
      <c r="L184" s="7">
        <v>0.87</v>
      </c>
      <c r="M184" s="7">
        <v>0.25369999999999998</v>
      </c>
      <c r="N184" s="1">
        <v>5</v>
      </c>
      <c r="O184" s="1">
        <v>64</v>
      </c>
      <c r="P184" s="1">
        <v>69</v>
      </c>
      <c r="Q184" s="1" t="str" cm="1">
        <f t="array" ref="Q184">_xlfn.IFS(dataset3[[#This Row],[Windspeed]]&lt;=0.1,"0.00 -0.10",dataset3[[#This Row],[Windspeed]]&lt;=0.2,"0.10-0.20",dataset3[[#This Row],[Windspeed]]&lt;=0.3,"0.20-0.30",dataset3[[#This Row],[Windspeed]]&lt;=0.4,"0.30-0.40",dataset3[[#This Row],[Windspeed]]&lt;=0.5,"0.40-0.50",dataset3[[#This Row],[Windspeed]]&lt;=0.6,"0.50-0.60")</f>
        <v>0.20-0.30</v>
      </c>
      <c r="R184" s="1" t="str" cm="1">
        <f t="array" ref="R18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185" spans="1:18" x14ac:dyDescent="0.25">
      <c r="A185" s="1">
        <v>803</v>
      </c>
      <c r="B185" s="3">
        <v>40579</v>
      </c>
      <c r="C185" s="1">
        <v>1</v>
      </c>
      <c r="D185" s="1">
        <v>21</v>
      </c>
      <c r="E185" s="1" t="s">
        <v>27</v>
      </c>
      <c r="F185" s="1">
        <v>6</v>
      </c>
      <c r="G185" s="1">
        <v>1</v>
      </c>
      <c r="H185" s="1" t="str">
        <f t="shared" si="2"/>
        <v>Saturday</v>
      </c>
      <c r="I185" s="1" t="str" cm="1">
        <f t="array" ref="I185">_xlfn.IFS(dataset3[[#This Row],[Weather sit]]=1,"1 Clear",dataset3[[#This Row],[Weather sit]]=2,"2 Misty/Cloudy",dataset3[[#This Row],[Weather sit]]=3,"3 Light Snow/Rain",dataset3[[#This Row],[Weather sit]]=4,"4 Heavy Snow/Rain")</f>
        <v>1 Clear</v>
      </c>
      <c r="J185" s="7">
        <v>0.26</v>
      </c>
      <c r="K185" s="7">
        <v>0.2576</v>
      </c>
      <c r="L185" s="7">
        <v>1</v>
      </c>
      <c r="M185" s="7">
        <v>0.19400000000000001</v>
      </c>
      <c r="N185" s="1">
        <v>3</v>
      </c>
      <c r="O185" s="1">
        <v>53</v>
      </c>
      <c r="P185" s="1">
        <v>56</v>
      </c>
      <c r="Q185" s="1" t="str" cm="1">
        <f t="array" ref="Q185">_xlfn.IFS(dataset3[[#This Row],[Windspeed]]&lt;=0.1,"0.00 -0.10",dataset3[[#This Row],[Windspeed]]&lt;=0.2,"0.10-0.20",dataset3[[#This Row],[Windspeed]]&lt;=0.3,"0.20-0.30",dataset3[[#This Row],[Windspeed]]&lt;=0.4,"0.30-0.40",dataset3[[#This Row],[Windspeed]]&lt;=0.5,"0.40-0.50",dataset3[[#This Row],[Windspeed]]&lt;=0.6,"0.50-0.60")</f>
        <v>0.10-0.20</v>
      </c>
      <c r="R185" s="1" t="str" cm="1">
        <f t="array" ref="R18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86" spans="1:18" x14ac:dyDescent="0.25">
      <c r="A186" s="1">
        <v>804</v>
      </c>
      <c r="B186" s="3">
        <v>40579</v>
      </c>
      <c r="C186" s="1">
        <v>1</v>
      </c>
      <c r="D186" s="1">
        <v>22</v>
      </c>
      <c r="E186" s="1" t="s">
        <v>27</v>
      </c>
      <c r="F186" s="1">
        <v>6</v>
      </c>
      <c r="G186" s="1">
        <v>1</v>
      </c>
      <c r="H186" s="1" t="str">
        <f t="shared" si="2"/>
        <v>Saturday</v>
      </c>
      <c r="I186" s="1" t="str" cm="1">
        <f t="array" ref="I186">_xlfn.IFS(dataset3[[#This Row],[Weather sit]]=1,"1 Clear",dataset3[[#This Row],[Weather sit]]=2,"2 Misty/Cloudy",dataset3[[#This Row],[Weather sit]]=3,"3 Light Snow/Rain",dataset3[[#This Row],[Weather sit]]=4,"4 Heavy Snow/Rain")</f>
        <v>1 Clear</v>
      </c>
      <c r="J186" s="7">
        <v>0.26</v>
      </c>
      <c r="K186" s="7">
        <v>0.2727</v>
      </c>
      <c r="L186" s="7">
        <v>0.93</v>
      </c>
      <c r="M186" s="7">
        <v>0.1343</v>
      </c>
      <c r="N186" s="1">
        <v>2</v>
      </c>
      <c r="O186" s="1">
        <v>43</v>
      </c>
      <c r="P186" s="1">
        <v>45</v>
      </c>
      <c r="Q186" s="1" t="str" cm="1">
        <f t="array" ref="Q186">_xlfn.IFS(dataset3[[#This Row],[Windspeed]]&lt;=0.1,"0.00 -0.10",dataset3[[#This Row],[Windspeed]]&lt;=0.2,"0.10-0.20",dataset3[[#This Row],[Windspeed]]&lt;=0.3,"0.20-0.30",dataset3[[#This Row],[Windspeed]]&lt;=0.4,"0.30-0.40",dataset3[[#This Row],[Windspeed]]&lt;=0.5,"0.40-0.50",dataset3[[#This Row],[Windspeed]]&lt;=0.6,"0.50-0.60")</f>
        <v>0.10-0.20</v>
      </c>
      <c r="R186" s="1" t="str" cm="1">
        <f t="array" ref="R18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87" spans="1:18" x14ac:dyDescent="0.25">
      <c r="A187" s="1">
        <v>805</v>
      </c>
      <c r="B187" s="3">
        <v>40579</v>
      </c>
      <c r="C187" s="1">
        <v>1</v>
      </c>
      <c r="D187" s="1">
        <v>23</v>
      </c>
      <c r="E187" s="1" t="s">
        <v>27</v>
      </c>
      <c r="F187" s="1">
        <v>6</v>
      </c>
      <c r="G187" s="1">
        <v>1</v>
      </c>
      <c r="H187" s="1" t="str">
        <f t="shared" si="2"/>
        <v>Saturday</v>
      </c>
      <c r="I187" s="1" t="str" cm="1">
        <f t="array" ref="I187">_xlfn.IFS(dataset3[[#This Row],[Weather sit]]=1,"1 Clear",dataset3[[#This Row],[Weather sit]]=2,"2 Misty/Cloudy",dataset3[[#This Row],[Weather sit]]=3,"3 Light Snow/Rain",dataset3[[#This Row],[Weather sit]]=4,"4 Heavy Snow/Rain")</f>
        <v>1 Clear</v>
      </c>
      <c r="J187" s="7">
        <v>0.26</v>
      </c>
      <c r="K187" s="7">
        <v>0.2576</v>
      </c>
      <c r="L187" s="7">
        <v>0.93</v>
      </c>
      <c r="M187" s="7">
        <v>0.22389999999999999</v>
      </c>
      <c r="N187" s="1">
        <v>7</v>
      </c>
      <c r="O187" s="1">
        <v>52</v>
      </c>
      <c r="P187" s="1">
        <v>59</v>
      </c>
      <c r="Q187" s="1" t="str" cm="1">
        <f t="array" ref="Q187">_xlfn.IFS(dataset3[[#This Row],[Windspeed]]&lt;=0.1,"0.00 -0.10",dataset3[[#This Row],[Windspeed]]&lt;=0.2,"0.10-0.20",dataset3[[#This Row],[Windspeed]]&lt;=0.3,"0.20-0.30",dataset3[[#This Row],[Windspeed]]&lt;=0.4,"0.30-0.40",dataset3[[#This Row],[Windspeed]]&lt;=0.5,"0.40-0.50",dataset3[[#This Row],[Windspeed]]&lt;=0.6,"0.50-0.60")</f>
        <v>0.20-0.30</v>
      </c>
      <c r="R187" s="1" t="str" cm="1">
        <f t="array" ref="R18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188" spans="1:18" x14ac:dyDescent="0.25">
      <c r="A188" s="1">
        <v>806</v>
      </c>
      <c r="B188" s="3">
        <v>40580</v>
      </c>
      <c r="C188" s="1">
        <v>1</v>
      </c>
      <c r="D188" s="1">
        <v>0</v>
      </c>
      <c r="E188" s="1" t="s">
        <v>27</v>
      </c>
      <c r="F188" s="1">
        <v>0</v>
      </c>
      <c r="G188" s="1">
        <v>1</v>
      </c>
      <c r="H188" s="1" t="str">
        <f t="shared" si="2"/>
        <v>Sunday</v>
      </c>
      <c r="I188" s="1" t="str" cm="1">
        <f t="array" ref="I188">_xlfn.IFS(dataset3[[#This Row],[Weather sit]]=1,"1 Clear",dataset3[[#This Row],[Weather sit]]=2,"2 Misty/Cloudy",dataset3[[#This Row],[Weather sit]]=3,"3 Light Snow/Rain",dataset3[[#This Row],[Weather sit]]=4,"4 Heavy Snow/Rain")</f>
        <v>1 Clear</v>
      </c>
      <c r="J188" s="7">
        <v>0.26</v>
      </c>
      <c r="K188" s="7">
        <v>0.2576</v>
      </c>
      <c r="L188" s="7">
        <v>0.7</v>
      </c>
      <c r="M188" s="7">
        <v>0.19400000000000001</v>
      </c>
      <c r="N188" s="1">
        <v>2</v>
      </c>
      <c r="O188" s="1">
        <v>37</v>
      </c>
      <c r="P188" s="1">
        <v>39</v>
      </c>
      <c r="Q188" s="1" t="str" cm="1">
        <f t="array" ref="Q188">_xlfn.IFS(dataset3[[#This Row],[Windspeed]]&lt;=0.1,"0.00 -0.10",dataset3[[#This Row],[Windspeed]]&lt;=0.2,"0.10-0.20",dataset3[[#This Row],[Windspeed]]&lt;=0.3,"0.20-0.30",dataset3[[#This Row],[Windspeed]]&lt;=0.4,"0.30-0.40",dataset3[[#This Row],[Windspeed]]&lt;=0.5,"0.40-0.50",dataset3[[#This Row],[Windspeed]]&lt;=0.6,"0.50-0.60")</f>
        <v>0.10-0.20</v>
      </c>
      <c r="R188" s="1" t="str" cm="1">
        <f t="array" ref="R18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89" spans="1:18" x14ac:dyDescent="0.25">
      <c r="A189" s="1">
        <v>807</v>
      </c>
      <c r="B189" s="3">
        <v>40580</v>
      </c>
      <c r="C189" s="1">
        <v>1</v>
      </c>
      <c r="D189" s="1">
        <v>1</v>
      </c>
      <c r="E189" s="1" t="s">
        <v>27</v>
      </c>
      <c r="F189" s="1">
        <v>0</v>
      </c>
      <c r="G189" s="1">
        <v>1</v>
      </c>
      <c r="H189" s="1" t="str">
        <f t="shared" si="2"/>
        <v>Sunday</v>
      </c>
      <c r="I189" s="1" t="str" cm="1">
        <f t="array" ref="I189">_xlfn.IFS(dataset3[[#This Row],[Weather sit]]=1,"1 Clear",dataset3[[#This Row],[Weather sit]]=2,"2 Misty/Cloudy",dataset3[[#This Row],[Weather sit]]=3,"3 Light Snow/Rain",dataset3[[#This Row],[Weather sit]]=4,"4 Heavy Snow/Rain")</f>
        <v>1 Clear</v>
      </c>
      <c r="J189" s="7">
        <v>0.26</v>
      </c>
      <c r="K189" s="7">
        <v>0.2273</v>
      </c>
      <c r="L189" s="7">
        <v>0.65</v>
      </c>
      <c r="M189" s="7">
        <v>0.41789999999999999</v>
      </c>
      <c r="N189" s="1">
        <v>4</v>
      </c>
      <c r="O189" s="1">
        <v>40</v>
      </c>
      <c r="P189" s="1">
        <v>44</v>
      </c>
      <c r="Q189" s="1" t="str" cm="1">
        <f t="array" ref="Q189">_xlfn.IFS(dataset3[[#This Row],[Windspeed]]&lt;=0.1,"0.00 -0.10",dataset3[[#This Row],[Windspeed]]&lt;=0.2,"0.10-0.20",dataset3[[#This Row],[Windspeed]]&lt;=0.3,"0.20-0.30",dataset3[[#This Row],[Windspeed]]&lt;=0.4,"0.30-0.40",dataset3[[#This Row],[Windspeed]]&lt;=0.5,"0.40-0.50",dataset3[[#This Row],[Windspeed]]&lt;=0.6,"0.50-0.60")</f>
        <v>0.40-0.50</v>
      </c>
      <c r="R189" s="1" t="str" cm="1">
        <f t="array" ref="R18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90" spans="1:18" x14ac:dyDescent="0.25">
      <c r="A190" s="1">
        <v>808</v>
      </c>
      <c r="B190" s="3">
        <v>40580</v>
      </c>
      <c r="C190" s="1">
        <v>1</v>
      </c>
      <c r="D190" s="1">
        <v>2</v>
      </c>
      <c r="E190" s="1" t="s">
        <v>27</v>
      </c>
      <c r="F190" s="1">
        <v>0</v>
      </c>
      <c r="G190" s="1">
        <v>1</v>
      </c>
      <c r="H190" s="1" t="str">
        <f t="shared" si="2"/>
        <v>Sunday</v>
      </c>
      <c r="I190" s="1" t="str" cm="1">
        <f t="array" ref="I190">_xlfn.IFS(dataset3[[#This Row],[Weather sit]]=1,"1 Clear",dataset3[[#This Row],[Weather sit]]=2,"2 Misty/Cloudy",dataset3[[#This Row],[Weather sit]]=3,"3 Light Snow/Rain",dataset3[[#This Row],[Weather sit]]=4,"4 Heavy Snow/Rain")</f>
        <v>1 Clear</v>
      </c>
      <c r="J190" s="7">
        <v>0.26</v>
      </c>
      <c r="K190" s="7">
        <v>0.2273</v>
      </c>
      <c r="L190" s="7">
        <v>0.6</v>
      </c>
      <c r="M190" s="7">
        <v>0.32840000000000003</v>
      </c>
      <c r="N190" s="1">
        <v>0</v>
      </c>
      <c r="O190" s="1">
        <v>20</v>
      </c>
      <c r="P190" s="1">
        <v>20</v>
      </c>
      <c r="Q190" s="1" t="str" cm="1">
        <f t="array" ref="Q190">_xlfn.IFS(dataset3[[#This Row],[Windspeed]]&lt;=0.1,"0.00 -0.10",dataset3[[#This Row],[Windspeed]]&lt;=0.2,"0.10-0.20",dataset3[[#This Row],[Windspeed]]&lt;=0.3,"0.20-0.30",dataset3[[#This Row],[Windspeed]]&lt;=0.4,"0.30-0.40",dataset3[[#This Row],[Windspeed]]&lt;=0.5,"0.40-0.50",dataset3[[#This Row],[Windspeed]]&lt;=0.6,"0.50-0.60")</f>
        <v>0.30-0.40</v>
      </c>
      <c r="R190" s="1" t="str" cm="1">
        <f t="array" ref="R19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91" spans="1:18" x14ac:dyDescent="0.25">
      <c r="A191" s="1">
        <v>809</v>
      </c>
      <c r="B191" s="3">
        <v>40580</v>
      </c>
      <c r="C191" s="1">
        <v>1</v>
      </c>
      <c r="D191" s="1">
        <v>3</v>
      </c>
      <c r="E191" s="1" t="s">
        <v>27</v>
      </c>
      <c r="F191" s="1">
        <v>0</v>
      </c>
      <c r="G191" s="1">
        <v>1</v>
      </c>
      <c r="H191" s="1" t="str">
        <f t="shared" si="2"/>
        <v>Sunday</v>
      </c>
      <c r="I191" s="1" t="str" cm="1">
        <f t="array" ref="I191">_xlfn.IFS(dataset3[[#This Row],[Weather sit]]=1,"1 Clear",dataset3[[#This Row],[Weather sit]]=2,"2 Misty/Cloudy",dataset3[[#This Row],[Weather sit]]=3,"3 Light Snow/Rain",dataset3[[#This Row],[Weather sit]]=4,"4 Heavy Snow/Rain")</f>
        <v>1 Clear</v>
      </c>
      <c r="J191" s="7">
        <v>0.26</v>
      </c>
      <c r="K191" s="7">
        <v>0.28789999999999999</v>
      </c>
      <c r="L191" s="7">
        <v>0.6</v>
      </c>
      <c r="M191" s="7">
        <v>8.9599999999999999E-2</v>
      </c>
      <c r="N191" s="1">
        <v>3</v>
      </c>
      <c r="O191" s="1">
        <v>10</v>
      </c>
      <c r="P191" s="1">
        <v>13</v>
      </c>
      <c r="Q191" s="1" t="str" cm="1">
        <f t="array" ref="Q191">_xlfn.IFS(dataset3[[#This Row],[Windspeed]]&lt;=0.1,"0.00 -0.10",dataset3[[#This Row],[Windspeed]]&lt;=0.2,"0.10-0.20",dataset3[[#This Row],[Windspeed]]&lt;=0.3,"0.20-0.30",dataset3[[#This Row],[Windspeed]]&lt;=0.4,"0.30-0.40",dataset3[[#This Row],[Windspeed]]&lt;=0.5,"0.40-0.50",dataset3[[#This Row],[Windspeed]]&lt;=0.6,"0.50-0.60")</f>
        <v>0.00 -0.10</v>
      </c>
      <c r="R191" s="1" t="str" cm="1">
        <f t="array" ref="R19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92" spans="1:18" x14ac:dyDescent="0.25">
      <c r="A192" s="1">
        <v>810</v>
      </c>
      <c r="B192" s="3">
        <v>40580</v>
      </c>
      <c r="C192" s="1">
        <v>1</v>
      </c>
      <c r="D192" s="1">
        <v>4</v>
      </c>
      <c r="E192" s="1" t="s">
        <v>27</v>
      </c>
      <c r="F192" s="1">
        <v>0</v>
      </c>
      <c r="G192" s="1">
        <v>1</v>
      </c>
      <c r="H192" s="1" t="str">
        <f t="shared" si="2"/>
        <v>Sunday</v>
      </c>
      <c r="I192" s="1" t="str" cm="1">
        <f t="array" ref="I192">_xlfn.IFS(dataset3[[#This Row],[Weather sit]]=1,"1 Clear",dataset3[[#This Row],[Weather sit]]=2,"2 Misty/Cloudy",dataset3[[#This Row],[Weather sit]]=3,"3 Light Snow/Rain",dataset3[[#This Row],[Weather sit]]=4,"4 Heavy Snow/Rain")</f>
        <v>1 Clear</v>
      </c>
      <c r="J192" s="7">
        <v>0.26</v>
      </c>
      <c r="K192" s="7">
        <v>0.2273</v>
      </c>
      <c r="L192" s="7">
        <v>0.6</v>
      </c>
      <c r="M192" s="7">
        <v>0.35820000000000002</v>
      </c>
      <c r="N192" s="1">
        <v>0</v>
      </c>
      <c r="O192" s="1">
        <v>2</v>
      </c>
      <c r="P192" s="1">
        <v>2</v>
      </c>
      <c r="Q192" s="1" t="str" cm="1">
        <f t="array" ref="Q192">_xlfn.IFS(dataset3[[#This Row],[Windspeed]]&lt;=0.1,"0.00 -0.10",dataset3[[#This Row],[Windspeed]]&lt;=0.2,"0.10-0.20",dataset3[[#This Row],[Windspeed]]&lt;=0.3,"0.20-0.30",dataset3[[#This Row],[Windspeed]]&lt;=0.4,"0.30-0.40",dataset3[[#This Row],[Windspeed]]&lt;=0.5,"0.40-0.50",dataset3[[#This Row],[Windspeed]]&lt;=0.6,"0.50-0.60")</f>
        <v>0.30-0.40</v>
      </c>
      <c r="R192" s="1" t="str" cm="1">
        <f t="array" ref="R19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93" spans="1:18" x14ac:dyDescent="0.25">
      <c r="A193" s="1">
        <v>811</v>
      </c>
      <c r="B193" s="3">
        <v>40580</v>
      </c>
      <c r="C193" s="1">
        <v>1</v>
      </c>
      <c r="D193" s="1">
        <v>5</v>
      </c>
      <c r="E193" s="1" t="s">
        <v>27</v>
      </c>
      <c r="F193" s="1">
        <v>0</v>
      </c>
      <c r="G193" s="1">
        <v>1</v>
      </c>
      <c r="H193" s="1" t="str">
        <f t="shared" si="2"/>
        <v>Sunday</v>
      </c>
      <c r="I193" s="1" t="str" cm="1">
        <f t="array" ref="I193">_xlfn.IFS(dataset3[[#This Row],[Weather sit]]=1,"1 Clear",dataset3[[#This Row],[Weather sit]]=2,"2 Misty/Cloudy",dataset3[[#This Row],[Weather sit]]=3,"3 Light Snow/Rain",dataset3[[#This Row],[Weather sit]]=4,"4 Heavy Snow/Rain")</f>
        <v>1 Clear</v>
      </c>
      <c r="J193" s="7">
        <v>0.26</v>
      </c>
      <c r="K193" s="7">
        <v>0.2576</v>
      </c>
      <c r="L193" s="7">
        <v>0.6</v>
      </c>
      <c r="M193" s="7">
        <v>0.22389999999999999</v>
      </c>
      <c r="N193" s="1">
        <v>0</v>
      </c>
      <c r="O193" s="1">
        <v>1</v>
      </c>
      <c r="P193" s="1">
        <v>1</v>
      </c>
      <c r="Q193" s="1" t="str" cm="1">
        <f t="array" ref="Q193">_xlfn.IFS(dataset3[[#This Row],[Windspeed]]&lt;=0.1,"0.00 -0.10",dataset3[[#This Row],[Windspeed]]&lt;=0.2,"0.10-0.20",dataset3[[#This Row],[Windspeed]]&lt;=0.3,"0.20-0.30",dataset3[[#This Row],[Windspeed]]&lt;=0.4,"0.30-0.40",dataset3[[#This Row],[Windspeed]]&lt;=0.5,"0.40-0.50",dataset3[[#This Row],[Windspeed]]&lt;=0.6,"0.50-0.60")</f>
        <v>0.20-0.30</v>
      </c>
      <c r="R193" s="1" t="str" cm="1">
        <f t="array" ref="R19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94" spans="1:18" x14ac:dyDescent="0.25">
      <c r="A194" s="1">
        <v>812</v>
      </c>
      <c r="B194" s="3">
        <v>40580</v>
      </c>
      <c r="C194" s="1">
        <v>1</v>
      </c>
      <c r="D194" s="1">
        <v>6</v>
      </c>
      <c r="E194" s="1" t="s">
        <v>27</v>
      </c>
      <c r="F194" s="1">
        <v>0</v>
      </c>
      <c r="G194" s="1">
        <v>1</v>
      </c>
      <c r="H194" s="1" t="str">
        <f t="shared" ref="H194:H257" si="3">TEXT(B194,"dddd")</f>
        <v>Sunday</v>
      </c>
      <c r="I194" s="1" t="str" cm="1">
        <f t="array" ref="I194">_xlfn.IFS(dataset3[[#This Row],[Weather sit]]=1,"1 Clear",dataset3[[#This Row],[Weather sit]]=2,"2 Misty/Cloudy",dataset3[[#This Row],[Weather sit]]=3,"3 Light Snow/Rain",dataset3[[#This Row],[Weather sit]]=4,"4 Heavy Snow/Rain")</f>
        <v>1 Clear</v>
      </c>
      <c r="J194" s="7">
        <v>0.26</v>
      </c>
      <c r="K194" s="7">
        <v>0.2576</v>
      </c>
      <c r="L194" s="7">
        <v>0.6</v>
      </c>
      <c r="M194" s="7">
        <v>0.22389999999999999</v>
      </c>
      <c r="N194" s="1">
        <v>0</v>
      </c>
      <c r="O194" s="1">
        <v>1</v>
      </c>
      <c r="P194" s="1">
        <v>1</v>
      </c>
      <c r="Q194" s="1" t="str" cm="1">
        <f t="array" ref="Q194">_xlfn.IFS(dataset3[[#This Row],[Windspeed]]&lt;=0.1,"0.00 -0.10",dataset3[[#This Row],[Windspeed]]&lt;=0.2,"0.10-0.20",dataset3[[#This Row],[Windspeed]]&lt;=0.3,"0.20-0.30",dataset3[[#This Row],[Windspeed]]&lt;=0.4,"0.30-0.40",dataset3[[#This Row],[Windspeed]]&lt;=0.5,"0.40-0.50",dataset3[[#This Row],[Windspeed]]&lt;=0.6,"0.50-0.60")</f>
        <v>0.20-0.30</v>
      </c>
      <c r="R194" s="1" t="str" cm="1">
        <f t="array" ref="R19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95" spans="1:18" x14ac:dyDescent="0.25">
      <c r="A195" s="1">
        <v>813</v>
      </c>
      <c r="B195" s="3">
        <v>40580</v>
      </c>
      <c r="C195" s="1">
        <v>1</v>
      </c>
      <c r="D195" s="1">
        <v>7</v>
      </c>
      <c r="E195" s="1" t="s">
        <v>27</v>
      </c>
      <c r="F195" s="1">
        <v>0</v>
      </c>
      <c r="G195" s="1">
        <v>1</v>
      </c>
      <c r="H195" s="1" t="str">
        <f t="shared" si="3"/>
        <v>Sunday</v>
      </c>
      <c r="I195" s="1" t="str" cm="1">
        <f t="array" ref="I195">_xlfn.IFS(dataset3[[#This Row],[Weather sit]]=1,"1 Clear",dataset3[[#This Row],[Weather sit]]=2,"2 Misty/Cloudy",dataset3[[#This Row],[Weather sit]]=3,"3 Light Snow/Rain",dataset3[[#This Row],[Weather sit]]=4,"4 Heavy Snow/Rain")</f>
        <v>1 Clear</v>
      </c>
      <c r="J195" s="7">
        <v>0.24</v>
      </c>
      <c r="K195" s="7">
        <v>0.2424</v>
      </c>
      <c r="L195" s="7">
        <v>0.65</v>
      </c>
      <c r="M195" s="7">
        <v>0.16420000000000001</v>
      </c>
      <c r="N195" s="1">
        <v>0</v>
      </c>
      <c r="O195" s="1">
        <v>8</v>
      </c>
      <c r="P195" s="1">
        <v>8</v>
      </c>
      <c r="Q195" s="1" t="str" cm="1">
        <f t="array" ref="Q195">_xlfn.IFS(dataset3[[#This Row],[Windspeed]]&lt;=0.1,"0.00 -0.10",dataset3[[#This Row],[Windspeed]]&lt;=0.2,"0.10-0.20",dataset3[[#This Row],[Windspeed]]&lt;=0.3,"0.20-0.30",dataset3[[#This Row],[Windspeed]]&lt;=0.4,"0.30-0.40",dataset3[[#This Row],[Windspeed]]&lt;=0.5,"0.40-0.50",dataset3[[#This Row],[Windspeed]]&lt;=0.6,"0.50-0.60")</f>
        <v>0.10-0.20</v>
      </c>
      <c r="R195" s="1" t="str" cm="1">
        <f t="array" ref="R19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96" spans="1:18" x14ac:dyDescent="0.25">
      <c r="A196" s="1">
        <v>814</v>
      </c>
      <c r="B196" s="3">
        <v>40580</v>
      </c>
      <c r="C196" s="1">
        <v>1</v>
      </c>
      <c r="D196" s="1">
        <v>8</v>
      </c>
      <c r="E196" s="1" t="s">
        <v>27</v>
      </c>
      <c r="F196" s="1">
        <v>0</v>
      </c>
      <c r="G196" s="1">
        <v>1</v>
      </c>
      <c r="H196" s="1" t="str">
        <f t="shared" si="3"/>
        <v>Sunday</v>
      </c>
      <c r="I196" s="1" t="str" cm="1">
        <f t="array" ref="I196">_xlfn.IFS(dataset3[[#This Row],[Weather sit]]=1,"1 Clear",dataset3[[#This Row],[Weather sit]]=2,"2 Misty/Cloudy",dataset3[[#This Row],[Weather sit]]=3,"3 Light Snow/Rain",dataset3[[#This Row],[Weather sit]]=4,"4 Heavy Snow/Rain")</f>
        <v>1 Clear</v>
      </c>
      <c r="J196" s="7">
        <v>0.24</v>
      </c>
      <c r="K196" s="7">
        <v>0.2576</v>
      </c>
      <c r="L196" s="7">
        <v>0.65</v>
      </c>
      <c r="M196" s="7">
        <v>0.1045</v>
      </c>
      <c r="N196" s="1">
        <v>2</v>
      </c>
      <c r="O196" s="1">
        <v>21</v>
      </c>
      <c r="P196" s="1">
        <v>23</v>
      </c>
      <c r="Q196" s="1" t="str" cm="1">
        <f t="array" ref="Q196">_xlfn.IFS(dataset3[[#This Row],[Windspeed]]&lt;=0.1,"0.00 -0.10",dataset3[[#This Row],[Windspeed]]&lt;=0.2,"0.10-0.20",dataset3[[#This Row],[Windspeed]]&lt;=0.3,"0.20-0.30",dataset3[[#This Row],[Windspeed]]&lt;=0.4,"0.30-0.40",dataset3[[#This Row],[Windspeed]]&lt;=0.5,"0.40-0.50",dataset3[[#This Row],[Windspeed]]&lt;=0.6,"0.50-0.60")</f>
        <v>0.10-0.20</v>
      </c>
      <c r="R196" s="1" t="str" cm="1">
        <f t="array" ref="R19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197" spans="1:18" x14ac:dyDescent="0.25">
      <c r="A197" s="1">
        <v>815</v>
      </c>
      <c r="B197" s="3">
        <v>40580</v>
      </c>
      <c r="C197" s="1">
        <v>1</v>
      </c>
      <c r="D197" s="1">
        <v>9</v>
      </c>
      <c r="E197" s="1" t="s">
        <v>27</v>
      </c>
      <c r="F197" s="1">
        <v>0</v>
      </c>
      <c r="G197" s="1">
        <v>1</v>
      </c>
      <c r="H197" s="1" t="str">
        <f t="shared" si="3"/>
        <v>Sunday</v>
      </c>
      <c r="I197" s="1" t="str" cm="1">
        <f t="array" ref="I197">_xlfn.IFS(dataset3[[#This Row],[Weather sit]]=1,"1 Clear",dataset3[[#This Row],[Weather sit]]=2,"2 Misty/Cloudy",dataset3[[#This Row],[Weather sit]]=3,"3 Light Snow/Rain",dataset3[[#This Row],[Weather sit]]=4,"4 Heavy Snow/Rain")</f>
        <v>1 Clear</v>
      </c>
      <c r="J197" s="7">
        <v>0.28000000000000003</v>
      </c>
      <c r="K197" s="7">
        <v>0.28789999999999999</v>
      </c>
      <c r="L197" s="7">
        <v>0.56000000000000005</v>
      </c>
      <c r="M197" s="7">
        <v>0.1045</v>
      </c>
      <c r="N197" s="1">
        <v>7</v>
      </c>
      <c r="O197" s="1">
        <v>38</v>
      </c>
      <c r="P197" s="1">
        <v>45</v>
      </c>
      <c r="Q197" s="1" t="str" cm="1">
        <f t="array" ref="Q197">_xlfn.IFS(dataset3[[#This Row],[Windspeed]]&lt;=0.1,"0.00 -0.10",dataset3[[#This Row],[Windspeed]]&lt;=0.2,"0.10-0.20",dataset3[[#This Row],[Windspeed]]&lt;=0.3,"0.20-0.30",dataset3[[#This Row],[Windspeed]]&lt;=0.4,"0.30-0.40",dataset3[[#This Row],[Windspeed]]&lt;=0.5,"0.40-0.50",dataset3[[#This Row],[Windspeed]]&lt;=0.6,"0.50-0.60")</f>
        <v>0.10-0.20</v>
      </c>
      <c r="R197" s="1" t="str" cm="1">
        <f t="array" ref="R19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98" spans="1:18" x14ac:dyDescent="0.25">
      <c r="A198" s="1">
        <v>816</v>
      </c>
      <c r="B198" s="3">
        <v>40580</v>
      </c>
      <c r="C198" s="1">
        <v>1</v>
      </c>
      <c r="D198" s="1">
        <v>10</v>
      </c>
      <c r="E198" s="1" t="s">
        <v>27</v>
      </c>
      <c r="F198" s="1">
        <v>0</v>
      </c>
      <c r="G198" s="1">
        <v>1</v>
      </c>
      <c r="H198" s="1" t="str">
        <f t="shared" si="3"/>
        <v>Sunday</v>
      </c>
      <c r="I198" s="1" t="str" cm="1">
        <f t="array" ref="I198">_xlfn.IFS(dataset3[[#This Row],[Weather sit]]=1,"1 Clear",dataset3[[#This Row],[Weather sit]]=2,"2 Misty/Cloudy",dataset3[[#This Row],[Weather sit]]=3,"3 Light Snow/Rain",dataset3[[#This Row],[Weather sit]]=4,"4 Heavy Snow/Rain")</f>
        <v>1 Clear</v>
      </c>
      <c r="J198" s="7">
        <v>0.3</v>
      </c>
      <c r="K198" s="7">
        <v>0.28789999999999999</v>
      </c>
      <c r="L198" s="7">
        <v>0.52</v>
      </c>
      <c r="M198" s="7">
        <v>0.25369999999999998</v>
      </c>
      <c r="N198" s="1">
        <v>15</v>
      </c>
      <c r="O198" s="1">
        <v>74</v>
      </c>
      <c r="P198" s="1">
        <v>89</v>
      </c>
      <c r="Q198" s="1" t="str" cm="1">
        <f t="array" ref="Q198">_xlfn.IFS(dataset3[[#This Row],[Windspeed]]&lt;=0.1,"0.00 -0.10",dataset3[[#This Row],[Windspeed]]&lt;=0.2,"0.10-0.20",dataset3[[#This Row],[Windspeed]]&lt;=0.3,"0.20-0.30",dataset3[[#This Row],[Windspeed]]&lt;=0.4,"0.30-0.40",dataset3[[#This Row],[Windspeed]]&lt;=0.5,"0.40-0.50",dataset3[[#This Row],[Windspeed]]&lt;=0.6,"0.50-0.60")</f>
        <v>0.20-0.30</v>
      </c>
      <c r="R198" s="1" t="str" cm="1">
        <f t="array" ref="R19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199" spans="1:18" x14ac:dyDescent="0.25">
      <c r="A199" s="1">
        <v>817</v>
      </c>
      <c r="B199" s="3">
        <v>40580</v>
      </c>
      <c r="C199" s="1">
        <v>1</v>
      </c>
      <c r="D199" s="1">
        <v>11</v>
      </c>
      <c r="E199" s="1" t="s">
        <v>27</v>
      </c>
      <c r="F199" s="1">
        <v>0</v>
      </c>
      <c r="G199" s="1">
        <v>1</v>
      </c>
      <c r="H199" s="1" t="str">
        <f t="shared" si="3"/>
        <v>Sunday</v>
      </c>
      <c r="I199" s="1" t="str" cm="1">
        <f t="array" ref="I199">_xlfn.IFS(dataset3[[#This Row],[Weather sit]]=1,"1 Clear",dataset3[[#This Row],[Weather sit]]=2,"2 Misty/Cloudy",dataset3[[#This Row],[Weather sit]]=3,"3 Light Snow/Rain",dataset3[[#This Row],[Weather sit]]=4,"4 Heavy Snow/Rain")</f>
        <v>1 Clear</v>
      </c>
      <c r="J199" s="7">
        <v>0.32</v>
      </c>
      <c r="K199" s="7">
        <v>0.30299999999999999</v>
      </c>
      <c r="L199" s="7">
        <v>0.49</v>
      </c>
      <c r="M199" s="7">
        <v>0.25369999999999998</v>
      </c>
      <c r="N199" s="1">
        <v>28</v>
      </c>
      <c r="O199" s="1">
        <v>89</v>
      </c>
      <c r="P199" s="1">
        <v>117</v>
      </c>
      <c r="Q199" s="1" t="str" cm="1">
        <f t="array" ref="Q199">_xlfn.IFS(dataset3[[#This Row],[Windspeed]]&lt;=0.1,"0.00 -0.10",dataset3[[#This Row],[Windspeed]]&lt;=0.2,"0.10-0.20",dataset3[[#This Row],[Windspeed]]&lt;=0.3,"0.20-0.30",dataset3[[#This Row],[Windspeed]]&lt;=0.4,"0.30-0.40",dataset3[[#This Row],[Windspeed]]&lt;=0.5,"0.40-0.50",dataset3[[#This Row],[Windspeed]]&lt;=0.6,"0.50-0.60")</f>
        <v>0.20-0.30</v>
      </c>
      <c r="R199" s="1" t="str" cm="1">
        <f t="array" ref="R19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00" spans="1:18" x14ac:dyDescent="0.25">
      <c r="A200" s="1">
        <v>818</v>
      </c>
      <c r="B200" s="3">
        <v>40580</v>
      </c>
      <c r="C200" s="1">
        <v>1</v>
      </c>
      <c r="D200" s="1">
        <v>12</v>
      </c>
      <c r="E200" s="1" t="s">
        <v>27</v>
      </c>
      <c r="F200" s="1">
        <v>0</v>
      </c>
      <c r="G200" s="1">
        <v>1</v>
      </c>
      <c r="H200" s="1" t="str">
        <f t="shared" si="3"/>
        <v>Sunday</v>
      </c>
      <c r="I200" s="1" t="str" cm="1">
        <f t="array" ref="I200">_xlfn.IFS(dataset3[[#This Row],[Weather sit]]=1,"1 Clear",dataset3[[#This Row],[Weather sit]]=2,"2 Misty/Cloudy",dataset3[[#This Row],[Weather sit]]=3,"3 Light Snow/Rain",dataset3[[#This Row],[Weather sit]]=4,"4 Heavy Snow/Rain")</f>
        <v>1 Clear</v>
      </c>
      <c r="J200" s="7">
        <v>0.34</v>
      </c>
      <c r="K200" s="7">
        <v>0.33329999999999999</v>
      </c>
      <c r="L200" s="7">
        <v>0.46</v>
      </c>
      <c r="M200" s="7">
        <v>0</v>
      </c>
      <c r="N200" s="1">
        <v>48</v>
      </c>
      <c r="O200" s="1">
        <v>126</v>
      </c>
      <c r="P200" s="1">
        <v>174</v>
      </c>
      <c r="Q200" s="1" t="str" cm="1">
        <f t="array" ref="Q200">_xlfn.IFS(dataset3[[#This Row],[Windspeed]]&lt;=0.1,"0.00 -0.10",dataset3[[#This Row],[Windspeed]]&lt;=0.2,"0.10-0.20",dataset3[[#This Row],[Windspeed]]&lt;=0.3,"0.20-0.30",dataset3[[#This Row],[Windspeed]]&lt;=0.4,"0.30-0.40",dataset3[[#This Row],[Windspeed]]&lt;=0.5,"0.40-0.50",dataset3[[#This Row],[Windspeed]]&lt;=0.6,"0.50-0.60")</f>
        <v>0.00 -0.10</v>
      </c>
      <c r="R200" s="1" t="str" cm="1">
        <f t="array" ref="R20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01" spans="1:18" x14ac:dyDescent="0.25">
      <c r="A201" s="1">
        <v>819</v>
      </c>
      <c r="B201" s="3">
        <v>40580</v>
      </c>
      <c r="C201" s="1">
        <v>1</v>
      </c>
      <c r="D201" s="1">
        <v>13</v>
      </c>
      <c r="E201" s="1" t="s">
        <v>27</v>
      </c>
      <c r="F201" s="1">
        <v>0</v>
      </c>
      <c r="G201" s="1">
        <v>1</v>
      </c>
      <c r="H201" s="1" t="str">
        <f t="shared" si="3"/>
        <v>Sunday</v>
      </c>
      <c r="I201" s="1" t="str" cm="1">
        <f t="array" ref="I201">_xlfn.IFS(dataset3[[#This Row],[Weather sit]]=1,"1 Clear",dataset3[[#This Row],[Weather sit]]=2,"2 Misty/Cloudy",dataset3[[#This Row],[Weather sit]]=3,"3 Light Snow/Rain",dataset3[[#This Row],[Weather sit]]=4,"4 Heavy Snow/Rain")</f>
        <v>1 Clear</v>
      </c>
      <c r="J201" s="7">
        <v>0.34</v>
      </c>
      <c r="K201" s="7">
        <v>0.36359999999999998</v>
      </c>
      <c r="L201" s="7">
        <v>0.46</v>
      </c>
      <c r="M201" s="7">
        <v>0</v>
      </c>
      <c r="N201" s="1">
        <v>47</v>
      </c>
      <c r="O201" s="1">
        <v>135</v>
      </c>
      <c r="P201" s="1">
        <v>182</v>
      </c>
      <c r="Q201" s="1" t="str" cm="1">
        <f t="array" ref="Q201">_xlfn.IFS(dataset3[[#This Row],[Windspeed]]&lt;=0.1,"0.00 -0.10",dataset3[[#This Row],[Windspeed]]&lt;=0.2,"0.10-0.20",dataset3[[#This Row],[Windspeed]]&lt;=0.3,"0.20-0.30",dataset3[[#This Row],[Windspeed]]&lt;=0.4,"0.30-0.40",dataset3[[#This Row],[Windspeed]]&lt;=0.5,"0.40-0.50",dataset3[[#This Row],[Windspeed]]&lt;=0.6,"0.50-0.60")</f>
        <v>0.00 -0.10</v>
      </c>
      <c r="R201" s="1" t="str" cm="1">
        <f t="array" ref="R20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02" spans="1:18" x14ac:dyDescent="0.25">
      <c r="A202" s="1">
        <v>820</v>
      </c>
      <c r="B202" s="3">
        <v>40580</v>
      </c>
      <c r="C202" s="1">
        <v>1</v>
      </c>
      <c r="D202" s="1">
        <v>14</v>
      </c>
      <c r="E202" s="1" t="s">
        <v>27</v>
      </c>
      <c r="F202" s="1">
        <v>0</v>
      </c>
      <c r="G202" s="1">
        <v>1</v>
      </c>
      <c r="H202" s="1" t="str">
        <f t="shared" si="3"/>
        <v>Sunday</v>
      </c>
      <c r="I202" s="1" t="str" cm="1">
        <f t="array" ref="I202">_xlfn.IFS(dataset3[[#This Row],[Weather sit]]=1,"1 Clear",dataset3[[#This Row],[Weather sit]]=2,"2 Misty/Cloudy",dataset3[[#This Row],[Weather sit]]=3,"3 Light Snow/Rain",dataset3[[#This Row],[Weather sit]]=4,"4 Heavy Snow/Rain")</f>
        <v>1 Clear</v>
      </c>
      <c r="J202" s="7">
        <v>0.34</v>
      </c>
      <c r="K202" s="7">
        <v>0.34849999999999998</v>
      </c>
      <c r="L202" s="7">
        <v>0.46</v>
      </c>
      <c r="M202" s="7">
        <v>8.9599999999999999E-2</v>
      </c>
      <c r="N202" s="1">
        <v>47</v>
      </c>
      <c r="O202" s="1">
        <v>114</v>
      </c>
      <c r="P202" s="1">
        <v>161</v>
      </c>
      <c r="Q202" s="1" t="str" cm="1">
        <f t="array" ref="Q202">_xlfn.IFS(dataset3[[#This Row],[Windspeed]]&lt;=0.1,"0.00 -0.10",dataset3[[#This Row],[Windspeed]]&lt;=0.2,"0.10-0.20",dataset3[[#This Row],[Windspeed]]&lt;=0.3,"0.20-0.30",dataset3[[#This Row],[Windspeed]]&lt;=0.4,"0.30-0.40",dataset3[[#This Row],[Windspeed]]&lt;=0.5,"0.40-0.50",dataset3[[#This Row],[Windspeed]]&lt;=0.6,"0.50-0.60")</f>
        <v>0.00 -0.10</v>
      </c>
      <c r="R202" s="1" t="str" cm="1">
        <f t="array" ref="R20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03" spans="1:18" x14ac:dyDescent="0.25">
      <c r="A203" s="1">
        <v>821</v>
      </c>
      <c r="B203" s="3">
        <v>40580</v>
      </c>
      <c r="C203" s="1">
        <v>1</v>
      </c>
      <c r="D203" s="1">
        <v>15</v>
      </c>
      <c r="E203" s="1" t="s">
        <v>27</v>
      </c>
      <c r="F203" s="1">
        <v>0</v>
      </c>
      <c r="G203" s="1">
        <v>1</v>
      </c>
      <c r="H203" s="1" t="str">
        <f t="shared" si="3"/>
        <v>Sunday</v>
      </c>
      <c r="I203" s="1" t="str" cm="1">
        <f t="array" ref="I203">_xlfn.IFS(dataset3[[#This Row],[Weather sit]]=1,"1 Clear",dataset3[[#This Row],[Weather sit]]=2,"2 Misty/Cloudy",dataset3[[#This Row],[Weather sit]]=3,"3 Light Snow/Rain",dataset3[[#This Row],[Weather sit]]=4,"4 Heavy Snow/Rain")</f>
        <v>1 Clear</v>
      </c>
      <c r="J203" s="7">
        <v>0.34</v>
      </c>
      <c r="K203" s="7">
        <v>0.34849999999999998</v>
      </c>
      <c r="L203" s="7">
        <v>0.46</v>
      </c>
      <c r="M203" s="7">
        <v>8.9599999999999999E-2</v>
      </c>
      <c r="N203" s="1">
        <v>52</v>
      </c>
      <c r="O203" s="1">
        <v>130</v>
      </c>
      <c r="P203" s="1">
        <v>182</v>
      </c>
      <c r="Q203" s="1" t="str" cm="1">
        <f t="array" ref="Q203">_xlfn.IFS(dataset3[[#This Row],[Windspeed]]&lt;=0.1,"0.00 -0.10",dataset3[[#This Row],[Windspeed]]&lt;=0.2,"0.10-0.20",dataset3[[#This Row],[Windspeed]]&lt;=0.3,"0.20-0.30",dataset3[[#This Row],[Windspeed]]&lt;=0.4,"0.30-0.40",dataset3[[#This Row],[Windspeed]]&lt;=0.5,"0.40-0.50",dataset3[[#This Row],[Windspeed]]&lt;=0.6,"0.50-0.60")</f>
        <v>0.00 -0.10</v>
      </c>
      <c r="R203" s="1" t="str" cm="1">
        <f t="array" ref="R20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04" spans="1:18" x14ac:dyDescent="0.25">
      <c r="A204" s="1">
        <v>822</v>
      </c>
      <c r="B204" s="3">
        <v>40580</v>
      </c>
      <c r="C204" s="1">
        <v>1</v>
      </c>
      <c r="D204" s="1">
        <v>16</v>
      </c>
      <c r="E204" s="1" t="s">
        <v>27</v>
      </c>
      <c r="F204" s="1">
        <v>0</v>
      </c>
      <c r="G204" s="1">
        <v>1</v>
      </c>
      <c r="H204" s="1" t="str">
        <f t="shared" si="3"/>
        <v>Sunday</v>
      </c>
      <c r="I204" s="1" t="str" cm="1">
        <f t="array" ref="I204">_xlfn.IFS(dataset3[[#This Row],[Weather sit]]=1,"1 Clear",dataset3[[#This Row],[Weather sit]]=2,"2 Misty/Cloudy",dataset3[[#This Row],[Weather sit]]=3,"3 Light Snow/Rain",dataset3[[#This Row],[Weather sit]]=4,"4 Heavy Snow/Rain")</f>
        <v>1 Clear</v>
      </c>
      <c r="J204" s="7">
        <v>0.34</v>
      </c>
      <c r="K204" s="7">
        <v>0.34849999999999998</v>
      </c>
      <c r="L204" s="7">
        <v>0.49</v>
      </c>
      <c r="M204" s="7">
        <v>0.1045</v>
      </c>
      <c r="N204" s="1">
        <v>42</v>
      </c>
      <c r="O204" s="1">
        <v>115</v>
      </c>
      <c r="P204" s="1">
        <v>157</v>
      </c>
      <c r="Q204" s="1" t="str" cm="1">
        <f t="array" ref="Q204">_xlfn.IFS(dataset3[[#This Row],[Windspeed]]&lt;=0.1,"0.00 -0.10",dataset3[[#This Row],[Windspeed]]&lt;=0.2,"0.10-0.20",dataset3[[#This Row],[Windspeed]]&lt;=0.3,"0.20-0.30",dataset3[[#This Row],[Windspeed]]&lt;=0.4,"0.30-0.40",dataset3[[#This Row],[Windspeed]]&lt;=0.5,"0.40-0.50",dataset3[[#This Row],[Windspeed]]&lt;=0.6,"0.50-0.60")</f>
        <v>0.10-0.20</v>
      </c>
      <c r="R204" s="1" t="str" cm="1">
        <f t="array" ref="R20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05" spans="1:18" x14ac:dyDescent="0.25">
      <c r="A205" s="1">
        <v>823</v>
      </c>
      <c r="B205" s="3">
        <v>40580</v>
      </c>
      <c r="C205" s="1">
        <v>1</v>
      </c>
      <c r="D205" s="1">
        <v>17</v>
      </c>
      <c r="E205" s="1" t="s">
        <v>27</v>
      </c>
      <c r="F205" s="1">
        <v>0</v>
      </c>
      <c r="G205" s="1">
        <v>1</v>
      </c>
      <c r="H205" s="1" t="str">
        <f t="shared" si="3"/>
        <v>Sunday</v>
      </c>
      <c r="I205" s="1" t="str" cm="1">
        <f t="array" ref="I205">_xlfn.IFS(dataset3[[#This Row],[Weather sit]]=1,"1 Clear",dataset3[[#This Row],[Weather sit]]=2,"2 Misty/Cloudy",dataset3[[#This Row],[Weather sit]]=3,"3 Light Snow/Rain",dataset3[[#This Row],[Weather sit]]=4,"4 Heavy Snow/Rain")</f>
        <v>1 Clear</v>
      </c>
      <c r="J205" s="7">
        <v>0.34</v>
      </c>
      <c r="K205" s="7">
        <v>0.36359999999999998</v>
      </c>
      <c r="L205" s="7">
        <v>0.46</v>
      </c>
      <c r="M205" s="7">
        <v>0</v>
      </c>
      <c r="N205" s="1">
        <v>24</v>
      </c>
      <c r="O205" s="1">
        <v>97</v>
      </c>
      <c r="P205" s="1">
        <v>121</v>
      </c>
      <c r="Q205" s="1" t="str" cm="1">
        <f t="array" ref="Q205">_xlfn.IFS(dataset3[[#This Row],[Windspeed]]&lt;=0.1,"0.00 -0.10",dataset3[[#This Row],[Windspeed]]&lt;=0.2,"0.10-0.20",dataset3[[#This Row],[Windspeed]]&lt;=0.3,"0.20-0.30",dataset3[[#This Row],[Windspeed]]&lt;=0.4,"0.30-0.40",dataset3[[#This Row],[Windspeed]]&lt;=0.5,"0.40-0.50",dataset3[[#This Row],[Windspeed]]&lt;=0.6,"0.50-0.60")</f>
        <v>0.00 -0.10</v>
      </c>
      <c r="R205" s="1" t="str" cm="1">
        <f t="array" ref="R20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06" spans="1:18" x14ac:dyDescent="0.25">
      <c r="A206" s="1">
        <v>824</v>
      </c>
      <c r="B206" s="3">
        <v>40580</v>
      </c>
      <c r="C206" s="1">
        <v>1</v>
      </c>
      <c r="D206" s="1">
        <v>18</v>
      </c>
      <c r="E206" s="1" t="s">
        <v>27</v>
      </c>
      <c r="F206" s="1">
        <v>0</v>
      </c>
      <c r="G206" s="1">
        <v>1</v>
      </c>
      <c r="H206" s="1" t="str">
        <f t="shared" si="3"/>
        <v>Sunday</v>
      </c>
      <c r="I206" s="1" t="str" cm="1">
        <f t="array" ref="I206">_xlfn.IFS(dataset3[[#This Row],[Weather sit]]=1,"1 Clear",dataset3[[#This Row],[Weather sit]]=2,"2 Misty/Cloudy",dataset3[[#This Row],[Weather sit]]=3,"3 Light Snow/Rain",dataset3[[#This Row],[Weather sit]]=4,"4 Heavy Snow/Rain")</f>
        <v>1 Clear</v>
      </c>
      <c r="J206" s="7">
        <v>0.3</v>
      </c>
      <c r="K206" s="7">
        <v>0.30299999999999999</v>
      </c>
      <c r="L206" s="7">
        <v>0.56000000000000005</v>
      </c>
      <c r="M206" s="7">
        <v>0.16420000000000001</v>
      </c>
      <c r="N206" s="1">
        <v>13</v>
      </c>
      <c r="O206" s="1">
        <v>65</v>
      </c>
      <c r="P206" s="1">
        <v>78</v>
      </c>
      <c r="Q206" s="1" t="str" cm="1">
        <f t="array" ref="Q206">_xlfn.IFS(dataset3[[#This Row],[Windspeed]]&lt;=0.1,"0.00 -0.10",dataset3[[#This Row],[Windspeed]]&lt;=0.2,"0.10-0.20",dataset3[[#This Row],[Windspeed]]&lt;=0.3,"0.20-0.30",dataset3[[#This Row],[Windspeed]]&lt;=0.4,"0.30-0.40",dataset3[[#This Row],[Windspeed]]&lt;=0.5,"0.40-0.50",dataset3[[#This Row],[Windspeed]]&lt;=0.6,"0.50-0.60")</f>
        <v>0.10-0.20</v>
      </c>
      <c r="R206" s="1" t="str" cm="1">
        <f t="array" ref="R20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207" spans="1:18" x14ac:dyDescent="0.25">
      <c r="A207" s="1">
        <v>825</v>
      </c>
      <c r="B207" s="3">
        <v>40580</v>
      </c>
      <c r="C207" s="1">
        <v>1</v>
      </c>
      <c r="D207" s="1">
        <v>19</v>
      </c>
      <c r="E207" s="1" t="s">
        <v>27</v>
      </c>
      <c r="F207" s="1">
        <v>0</v>
      </c>
      <c r="G207" s="1">
        <v>1</v>
      </c>
      <c r="H207" s="1" t="str">
        <f t="shared" si="3"/>
        <v>Sunday</v>
      </c>
      <c r="I207" s="1" t="str" cm="1">
        <f t="array" ref="I207">_xlfn.IFS(dataset3[[#This Row],[Weather sit]]=1,"1 Clear",dataset3[[#This Row],[Weather sit]]=2,"2 Misty/Cloudy",dataset3[[#This Row],[Weather sit]]=3,"3 Light Snow/Rain",dataset3[[#This Row],[Weather sit]]=4,"4 Heavy Snow/Rain")</f>
        <v>1 Clear</v>
      </c>
      <c r="J207" s="7">
        <v>0.28000000000000003</v>
      </c>
      <c r="K207" s="7">
        <v>0.28789999999999999</v>
      </c>
      <c r="L207" s="7">
        <v>0.61</v>
      </c>
      <c r="M207" s="7">
        <v>0.1343</v>
      </c>
      <c r="N207" s="1">
        <v>1</v>
      </c>
      <c r="O207" s="1">
        <v>20</v>
      </c>
      <c r="P207" s="1">
        <v>21</v>
      </c>
      <c r="Q207" s="1" t="str" cm="1">
        <f t="array" ref="Q207">_xlfn.IFS(dataset3[[#This Row],[Windspeed]]&lt;=0.1,"0.00 -0.10",dataset3[[#This Row],[Windspeed]]&lt;=0.2,"0.10-0.20",dataset3[[#This Row],[Windspeed]]&lt;=0.3,"0.20-0.30",dataset3[[#This Row],[Windspeed]]&lt;=0.4,"0.30-0.40",dataset3[[#This Row],[Windspeed]]&lt;=0.5,"0.40-0.50",dataset3[[#This Row],[Windspeed]]&lt;=0.6,"0.50-0.60")</f>
        <v>0.10-0.20</v>
      </c>
      <c r="R207" s="1" t="str" cm="1">
        <f t="array" ref="R20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208" spans="1:18" x14ac:dyDescent="0.25">
      <c r="A208" s="1">
        <v>826</v>
      </c>
      <c r="B208" s="3">
        <v>40580</v>
      </c>
      <c r="C208" s="1">
        <v>1</v>
      </c>
      <c r="D208" s="1">
        <v>20</v>
      </c>
      <c r="E208" s="1" t="s">
        <v>27</v>
      </c>
      <c r="F208" s="1">
        <v>0</v>
      </c>
      <c r="G208" s="1">
        <v>1</v>
      </c>
      <c r="H208" s="1" t="str">
        <f t="shared" si="3"/>
        <v>Sunday</v>
      </c>
      <c r="I208" s="1" t="str" cm="1">
        <f t="array" ref="I208">_xlfn.IFS(dataset3[[#This Row],[Weather sit]]=1,"1 Clear",dataset3[[#This Row],[Weather sit]]=2,"2 Misty/Cloudy",dataset3[[#This Row],[Weather sit]]=3,"3 Light Snow/Rain",dataset3[[#This Row],[Weather sit]]=4,"4 Heavy Snow/Rain")</f>
        <v>1 Clear</v>
      </c>
      <c r="J208" s="7">
        <v>0.28000000000000003</v>
      </c>
      <c r="K208" s="7">
        <v>0.28789999999999999</v>
      </c>
      <c r="L208" s="7">
        <v>0.61</v>
      </c>
      <c r="M208" s="7">
        <v>0.1045</v>
      </c>
      <c r="N208" s="1">
        <v>5</v>
      </c>
      <c r="O208" s="1">
        <v>21</v>
      </c>
      <c r="P208" s="1">
        <v>26</v>
      </c>
      <c r="Q208" s="1" t="str" cm="1">
        <f t="array" ref="Q208">_xlfn.IFS(dataset3[[#This Row],[Windspeed]]&lt;=0.1,"0.00 -0.10",dataset3[[#This Row],[Windspeed]]&lt;=0.2,"0.10-0.20",dataset3[[#This Row],[Windspeed]]&lt;=0.3,"0.20-0.30",dataset3[[#This Row],[Windspeed]]&lt;=0.4,"0.30-0.40",dataset3[[#This Row],[Windspeed]]&lt;=0.5,"0.40-0.50",dataset3[[#This Row],[Windspeed]]&lt;=0.6,"0.50-0.60")</f>
        <v>0.10-0.20</v>
      </c>
      <c r="R208" s="1" t="str" cm="1">
        <f t="array" ref="R20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209" spans="1:18" x14ac:dyDescent="0.25">
      <c r="A209" s="1">
        <v>827</v>
      </c>
      <c r="B209" s="3">
        <v>40580</v>
      </c>
      <c r="C209" s="1">
        <v>1</v>
      </c>
      <c r="D209" s="1">
        <v>21</v>
      </c>
      <c r="E209" s="1" t="s">
        <v>27</v>
      </c>
      <c r="F209" s="1">
        <v>0</v>
      </c>
      <c r="G209" s="1">
        <v>1</v>
      </c>
      <c r="H209" s="1" t="str">
        <f t="shared" si="3"/>
        <v>Sunday</v>
      </c>
      <c r="I209" s="1" t="str" cm="1">
        <f t="array" ref="I209">_xlfn.IFS(dataset3[[#This Row],[Weather sit]]=1,"1 Clear",dataset3[[#This Row],[Weather sit]]=2,"2 Misty/Cloudy",dataset3[[#This Row],[Weather sit]]=3,"3 Light Snow/Rain",dataset3[[#This Row],[Weather sit]]=4,"4 Heavy Snow/Rain")</f>
        <v>1 Clear</v>
      </c>
      <c r="J209" s="7">
        <v>0.26</v>
      </c>
      <c r="K209" s="7">
        <v>0.30299999999999999</v>
      </c>
      <c r="L209" s="7">
        <v>0.6</v>
      </c>
      <c r="M209" s="7">
        <v>0</v>
      </c>
      <c r="N209" s="1">
        <v>5</v>
      </c>
      <c r="O209" s="1">
        <v>22</v>
      </c>
      <c r="P209" s="1">
        <v>27</v>
      </c>
      <c r="Q209" s="1" t="str" cm="1">
        <f t="array" ref="Q209">_xlfn.IFS(dataset3[[#This Row],[Windspeed]]&lt;=0.1,"0.00 -0.10",dataset3[[#This Row],[Windspeed]]&lt;=0.2,"0.10-0.20",dataset3[[#This Row],[Windspeed]]&lt;=0.3,"0.20-0.30",dataset3[[#This Row],[Windspeed]]&lt;=0.4,"0.30-0.40",dataset3[[#This Row],[Windspeed]]&lt;=0.5,"0.40-0.50",dataset3[[#This Row],[Windspeed]]&lt;=0.6,"0.50-0.60")</f>
        <v>0.00 -0.10</v>
      </c>
      <c r="R209" s="1" t="str" cm="1">
        <f t="array" ref="R20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210" spans="1:18" x14ac:dyDescent="0.25">
      <c r="A210" s="1">
        <v>828</v>
      </c>
      <c r="B210" s="3">
        <v>40580</v>
      </c>
      <c r="C210" s="1">
        <v>1</v>
      </c>
      <c r="D210" s="1">
        <v>22</v>
      </c>
      <c r="E210" s="1" t="s">
        <v>27</v>
      </c>
      <c r="F210" s="1">
        <v>0</v>
      </c>
      <c r="G210" s="1">
        <v>1</v>
      </c>
      <c r="H210" s="1" t="str">
        <f t="shared" si="3"/>
        <v>Sunday</v>
      </c>
      <c r="I210" s="1" t="str" cm="1">
        <f t="array" ref="I210">_xlfn.IFS(dataset3[[#This Row],[Weather sit]]=1,"1 Clear",dataset3[[#This Row],[Weather sit]]=2,"2 Misty/Cloudy",dataset3[[#This Row],[Weather sit]]=3,"3 Light Snow/Rain",dataset3[[#This Row],[Weather sit]]=4,"4 Heavy Snow/Rain")</f>
        <v>1 Clear</v>
      </c>
      <c r="J210" s="7">
        <v>0.26</v>
      </c>
      <c r="K210" s="7">
        <v>0.30299999999999999</v>
      </c>
      <c r="L210" s="7">
        <v>0.6</v>
      </c>
      <c r="M210" s="7">
        <v>0</v>
      </c>
      <c r="N210" s="1">
        <v>5</v>
      </c>
      <c r="O210" s="1">
        <v>57</v>
      </c>
      <c r="P210" s="1">
        <v>62</v>
      </c>
      <c r="Q210" s="1" t="str" cm="1">
        <f t="array" ref="Q210">_xlfn.IFS(dataset3[[#This Row],[Windspeed]]&lt;=0.1,"0.00 -0.10",dataset3[[#This Row],[Windspeed]]&lt;=0.2,"0.10-0.20",dataset3[[#This Row],[Windspeed]]&lt;=0.3,"0.20-0.30",dataset3[[#This Row],[Windspeed]]&lt;=0.4,"0.30-0.40",dataset3[[#This Row],[Windspeed]]&lt;=0.5,"0.40-0.50",dataset3[[#This Row],[Windspeed]]&lt;=0.6,"0.50-0.60")</f>
        <v>0.00 -0.10</v>
      </c>
      <c r="R210" s="1" t="str" cm="1">
        <f t="array" ref="R21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211" spans="1:18" x14ac:dyDescent="0.25">
      <c r="A211" s="1">
        <v>829</v>
      </c>
      <c r="B211" s="3">
        <v>40580</v>
      </c>
      <c r="C211" s="1">
        <v>1</v>
      </c>
      <c r="D211" s="1">
        <v>23</v>
      </c>
      <c r="E211" s="1" t="s">
        <v>27</v>
      </c>
      <c r="F211" s="1">
        <v>0</v>
      </c>
      <c r="G211" s="1">
        <v>1</v>
      </c>
      <c r="H211" s="1" t="str">
        <f t="shared" si="3"/>
        <v>Sunday</v>
      </c>
      <c r="I211" s="1" t="str" cm="1">
        <f t="array" ref="I211">_xlfn.IFS(dataset3[[#This Row],[Weather sit]]=1,"1 Clear",dataset3[[#This Row],[Weather sit]]=2,"2 Misty/Cloudy",dataset3[[#This Row],[Weather sit]]=3,"3 Light Snow/Rain",dataset3[[#This Row],[Weather sit]]=4,"4 Heavy Snow/Rain")</f>
        <v>1 Clear</v>
      </c>
      <c r="J211" s="7">
        <v>0.24</v>
      </c>
      <c r="K211" s="7">
        <v>0.28789999999999999</v>
      </c>
      <c r="L211" s="7">
        <v>0.65</v>
      </c>
      <c r="M211" s="7">
        <v>0</v>
      </c>
      <c r="N211" s="1">
        <v>4</v>
      </c>
      <c r="O211" s="1">
        <v>26</v>
      </c>
      <c r="P211" s="1">
        <v>30</v>
      </c>
      <c r="Q211" s="1" t="str" cm="1">
        <f t="array" ref="Q211">_xlfn.IFS(dataset3[[#This Row],[Windspeed]]&lt;=0.1,"0.00 -0.10",dataset3[[#This Row],[Windspeed]]&lt;=0.2,"0.10-0.20",dataset3[[#This Row],[Windspeed]]&lt;=0.3,"0.20-0.30",dataset3[[#This Row],[Windspeed]]&lt;=0.4,"0.30-0.40",dataset3[[#This Row],[Windspeed]]&lt;=0.5,"0.40-0.50",dataset3[[#This Row],[Windspeed]]&lt;=0.6,"0.50-0.60")</f>
        <v>0.00 -0.10</v>
      </c>
      <c r="R211" s="1" t="str" cm="1">
        <f t="array" ref="R21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212" spans="1:18" x14ac:dyDescent="0.25">
      <c r="A212" s="1">
        <v>830</v>
      </c>
      <c r="B212" s="3">
        <v>40581</v>
      </c>
      <c r="C212" s="1">
        <v>1</v>
      </c>
      <c r="D212" s="1">
        <v>0</v>
      </c>
      <c r="E212" s="1" t="s">
        <v>27</v>
      </c>
      <c r="F212" s="1">
        <v>1</v>
      </c>
      <c r="G212" s="1">
        <v>1</v>
      </c>
      <c r="H212" s="1" t="str">
        <f t="shared" si="3"/>
        <v>Monday</v>
      </c>
      <c r="I212" s="1" t="str" cm="1">
        <f t="array" ref="I212">_xlfn.IFS(dataset3[[#This Row],[Weather sit]]=1,"1 Clear",dataset3[[#This Row],[Weather sit]]=2,"2 Misty/Cloudy",dataset3[[#This Row],[Weather sit]]=3,"3 Light Snow/Rain",dataset3[[#This Row],[Weather sit]]=4,"4 Heavy Snow/Rain")</f>
        <v>1 Clear</v>
      </c>
      <c r="J212" s="7">
        <v>0.24</v>
      </c>
      <c r="K212" s="7">
        <v>0.28789999999999999</v>
      </c>
      <c r="L212" s="7">
        <v>0.65</v>
      </c>
      <c r="M212" s="7">
        <v>0</v>
      </c>
      <c r="N212" s="1">
        <v>1</v>
      </c>
      <c r="O212" s="1">
        <v>14</v>
      </c>
      <c r="P212" s="1">
        <v>15</v>
      </c>
      <c r="Q212" s="1" t="str" cm="1">
        <f t="array" ref="Q212">_xlfn.IFS(dataset3[[#This Row],[Windspeed]]&lt;=0.1,"0.00 -0.10",dataset3[[#This Row],[Windspeed]]&lt;=0.2,"0.10-0.20",dataset3[[#This Row],[Windspeed]]&lt;=0.3,"0.20-0.30",dataset3[[#This Row],[Windspeed]]&lt;=0.4,"0.30-0.40",dataset3[[#This Row],[Windspeed]]&lt;=0.5,"0.40-0.50",dataset3[[#This Row],[Windspeed]]&lt;=0.6,"0.50-0.60")</f>
        <v>0.00 -0.10</v>
      </c>
      <c r="R212" s="1" t="str" cm="1">
        <f t="array" ref="R21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213" spans="1:18" x14ac:dyDescent="0.25">
      <c r="A213" s="1">
        <v>831</v>
      </c>
      <c r="B213" s="3">
        <v>40581</v>
      </c>
      <c r="C213" s="1">
        <v>1</v>
      </c>
      <c r="D213" s="1">
        <v>1</v>
      </c>
      <c r="E213" s="1" t="s">
        <v>27</v>
      </c>
      <c r="F213" s="1">
        <v>1</v>
      </c>
      <c r="G213" s="1">
        <v>1</v>
      </c>
      <c r="H213" s="1" t="str">
        <f t="shared" si="3"/>
        <v>Monday</v>
      </c>
      <c r="I213" s="1" t="str" cm="1">
        <f t="array" ref="I213">_xlfn.IFS(dataset3[[#This Row],[Weather sit]]=1,"1 Clear",dataset3[[#This Row],[Weather sit]]=2,"2 Misty/Cloudy",dataset3[[#This Row],[Weather sit]]=3,"3 Light Snow/Rain",dataset3[[#This Row],[Weather sit]]=4,"4 Heavy Snow/Rain")</f>
        <v>1 Clear</v>
      </c>
      <c r="J213" s="7">
        <v>0.22</v>
      </c>
      <c r="K213" s="7">
        <v>0.2727</v>
      </c>
      <c r="L213" s="7">
        <v>0.75</v>
      </c>
      <c r="M213" s="7">
        <v>0</v>
      </c>
      <c r="N213" s="1">
        <v>1</v>
      </c>
      <c r="O213" s="1">
        <v>4</v>
      </c>
      <c r="P213" s="1">
        <v>5</v>
      </c>
      <c r="Q213" s="1" t="str" cm="1">
        <f t="array" ref="Q213">_xlfn.IFS(dataset3[[#This Row],[Windspeed]]&lt;=0.1,"0.00 -0.10",dataset3[[#This Row],[Windspeed]]&lt;=0.2,"0.10-0.20",dataset3[[#This Row],[Windspeed]]&lt;=0.3,"0.20-0.30",dataset3[[#This Row],[Windspeed]]&lt;=0.4,"0.30-0.40",dataset3[[#This Row],[Windspeed]]&lt;=0.5,"0.40-0.50",dataset3[[#This Row],[Windspeed]]&lt;=0.6,"0.50-0.60")</f>
        <v>0.00 -0.10</v>
      </c>
      <c r="R213" s="1" t="str" cm="1">
        <f t="array" ref="R21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14" spans="1:18" x14ac:dyDescent="0.25">
      <c r="A214" s="1">
        <v>832</v>
      </c>
      <c r="B214" s="3">
        <v>40581</v>
      </c>
      <c r="C214" s="1">
        <v>1</v>
      </c>
      <c r="D214" s="1">
        <v>2</v>
      </c>
      <c r="E214" s="1" t="s">
        <v>27</v>
      </c>
      <c r="F214" s="1">
        <v>1</v>
      </c>
      <c r="G214" s="1">
        <v>1</v>
      </c>
      <c r="H214" s="1" t="str">
        <f t="shared" si="3"/>
        <v>Monday</v>
      </c>
      <c r="I214" s="1" t="str" cm="1">
        <f t="array" ref="I214">_xlfn.IFS(dataset3[[#This Row],[Weather sit]]=1,"1 Clear",dataset3[[#This Row],[Weather sit]]=2,"2 Misty/Cloudy",dataset3[[#This Row],[Weather sit]]=3,"3 Light Snow/Rain",dataset3[[#This Row],[Weather sit]]=4,"4 Heavy Snow/Rain")</f>
        <v>1 Clear</v>
      </c>
      <c r="J214" s="7">
        <v>0.2</v>
      </c>
      <c r="K214" s="7">
        <v>0.2576</v>
      </c>
      <c r="L214" s="7">
        <v>0.8</v>
      </c>
      <c r="M214" s="7">
        <v>0</v>
      </c>
      <c r="N214" s="1">
        <v>0</v>
      </c>
      <c r="O214" s="1">
        <v>3</v>
      </c>
      <c r="P214" s="1">
        <v>3</v>
      </c>
      <c r="Q214" s="1" t="str" cm="1">
        <f t="array" ref="Q214">_xlfn.IFS(dataset3[[#This Row],[Windspeed]]&lt;=0.1,"0.00 -0.10",dataset3[[#This Row],[Windspeed]]&lt;=0.2,"0.10-0.20",dataset3[[#This Row],[Windspeed]]&lt;=0.3,"0.20-0.30",dataset3[[#This Row],[Windspeed]]&lt;=0.4,"0.30-0.40",dataset3[[#This Row],[Windspeed]]&lt;=0.5,"0.40-0.50",dataset3[[#This Row],[Windspeed]]&lt;=0.6,"0.50-0.60")</f>
        <v>0.00 -0.10</v>
      </c>
      <c r="R214" s="1" t="str" cm="1">
        <f t="array" ref="R21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15" spans="1:18" x14ac:dyDescent="0.25">
      <c r="A215" s="1">
        <v>833</v>
      </c>
      <c r="B215" s="3">
        <v>40581</v>
      </c>
      <c r="C215" s="1">
        <v>1</v>
      </c>
      <c r="D215" s="1">
        <v>3</v>
      </c>
      <c r="E215" s="1" t="s">
        <v>27</v>
      </c>
      <c r="F215" s="1">
        <v>1</v>
      </c>
      <c r="G215" s="1">
        <v>1</v>
      </c>
      <c r="H215" s="1" t="str">
        <f t="shared" si="3"/>
        <v>Monday</v>
      </c>
      <c r="I215" s="1" t="str" cm="1">
        <f t="array" ref="I215">_xlfn.IFS(dataset3[[#This Row],[Weather sit]]=1,"1 Clear",dataset3[[#This Row],[Weather sit]]=2,"2 Misty/Cloudy",dataset3[[#This Row],[Weather sit]]=3,"3 Light Snow/Rain",dataset3[[#This Row],[Weather sit]]=4,"4 Heavy Snow/Rain")</f>
        <v>1 Clear</v>
      </c>
      <c r="J215" s="7">
        <v>0.2</v>
      </c>
      <c r="K215" s="7">
        <v>0.2576</v>
      </c>
      <c r="L215" s="7">
        <v>0.86</v>
      </c>
      <c r="M215" s="7">
        <v>0</v>
      </c>
      <c r="N215" s="1">
        <v>0</v>
      </c>
      <c r="O215" s="1">
        <v>1</v>
      </c>
      <c r="P215" s="1">
        <v>1</v>
      </c>
      <c r="Q215" s="1" t="str" cm="1">
        <f t="array" ref="Q215">_xlfn.IFS(dataset3[[#This Row],[Windspeed]]&lt;=0.1,"0.00 -0.10",dataset3[[#This Row],[Windspeed]]&lt;=0.2,"0.10-0.20",dataset3[[#This Row],[Windspeed]]&lt;=0.3,"0.20-0.30",dataset3[[#This Row],[Windspeed]]&lt;=0.4,"0.30-0.40",dataset3[[#This Row],[Windspeed]]&lt;=0.5,"0.40-0.50",dataset3[[#This Row],[Windspeed]]&lt;=0.6,"0.50-0.60")</f>
        <v>0.00 -0.10</v>
      </c>
      <c r="R215" s="1" t="str" cm="1">
        <f t="array" ref="R21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216" spans="1:18" x14ac:dyDescent="0.25">
      <c r="A216" s="1">
        <v>834</v>
      </c>
      <c r="B216" s="3">
        <v>40581</v>
      </c>
      <c r="C216" s="1">
        <v>1</v>
      </c>
      <c r="D216" s="1">
        <v>4</v>
      </c>
      <c r="E216" s="1" t="s">
        <v>27</v>
      </c>
      <c r="F216" s="1">
        <v>1</v>
      </c>
      <c r="G216" s="1">
        <v>1</v>
      </c>
      <c r="H216" s="1" t="str">
        <f t="shared" si="3"/>
        <v>Monday</v>
      </c>
      <c r="I216" s="1" t="str" cm="1">
        <f t="array" ref="I216">_xlfn.IFS(dataset3[[#This Row],[Weather sit]]=1,"1 Clear",dataset3[[#This Row],[Weather sit]]=2,"2 Misty/Cloudy",dataset3[[#This Row],[Weather sit]]=3,"3 Light Snow/Rain",dataset3[[#This Row],[Weather sit]]=4,"4 Heavy Snow/Rain")</f>
        <v>1 Clear</v>
      </c>
      <c r="J216" s="7">
        <v>0.2</v>
      </c>
      <c r="K216" s="7">
        <v>0.2576</v>
      </c>
      <c r="L216" s="7">
        <v>0.86</v>
      </c>
      <c r="M216" s="7">
        <v>0</v>
      </c>
      <c r="N216" s="1">
        <v>1</v>
      </c>
      <c r="O216" s="1">
        <v>1</v>
      </c>
      <c r="P216" s="1">
        <v>2</v>
      </c>
      <c r="Q216" s="1" t="str" cm="1">
        <f t="array" ref="Q216">_xlfn.IFS(dataset3[[#This Row],[Windspeed]]&lt;=0.1,"0.00 -0.10",dataset3[[#This Row],[Windspeed]]&lt;=0.2,"0.10-0.20",dataset3[[#This Row],[Windspeed]]&lt;=0.3,"0.20-0.30",dataset3[[#This Row],[Windspeed]]&lt;=0.4,"0.30-0.40",dataset3[[#This Row],[Windspeed]]&lt;=0.5,"0.40-0.50",dataset3[[#This Row],[Windspeed]]&lt;=0.6,"0.50-0.60")</f>
        <v>0.00 -0.10</v>
      </c>
      <c r="R216" s="1" t="str" cm="1">
        <f t="array" ref="R21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217" spans="1:18" x14ac:dyDescent="0.25">
      <c r="A217" s="1">
        <v>835</v>
      </c>
      <c r="B217" s="3">
        <v>40581</v>
      </c>
      <c r="C217" s="1">
        <v>1</v>
      </c>
      <c r="D217" s="1">
        <v>5</v>
      </c>
      <c r="E217" s="1" t="s">
        <v>27</v>
      </c>
      <c r="F217" s="1">
        <v>1</v>
      </c>
      <c r="G217" s="1">
        <v>1</v>
      </c>
      <c r="H217" s="1" t="str">
        <f t="shared" si="3"/>
        <v>Monday</v>
      </c>
      <c r="I217" s="1" t="str" cm="1">
        <f t="array" ref="I217">_xlfn.IFS(dataset3[[#This Row],[Weather sit]]=1,"1 Clear",dataset3[[#This Row],[Weather sit]]=2,"2 Misty/Cloudy",dataset3[[#This Row],[Weather sit]]=3,"3 Light Snow/Rain",dataset3[[#This Row],[Weather sit]]=4,"4 Heavy Snow/Rain")</f>
        <v>1 Clear</v>
      </c>
      <c r="J217" s="7">
        <v>0.2</v>
      </c>
      <c r="K217" s="7">
        <v>0.2576</v>
      </c>
      <c r="L217" s="7">
        <v>0.86</v>
      </c>
      <c r="M217" s="7">
        <v>0</v>
      </c>
      <c r="N217" s="1">
        <v>1</v>
      </c>
      <c r="O217" s="1">
        <v>9</v>
      </c>
      <c r="P217" s="1">
        <v>10</v>
      </c>
      <c r="Q217" s="1" t="str" cm="1">
        <f t="array" ref="Q217">_xlfn.IFS(dataset3[[#This Row],[Windspeed]]&lt;=0.1,"0.00 -0.10",dataset3[[#This Row],[Windspeed]]&lt;=0.2,"0.10-0.20",dataset3[[#This Row],[Windspeed]]&lt;=0.3,"0.20-0.30",dataset3[[#This Row],[Windspeed]]&lt;=0.4,"0.30-0.40",dataset3[[#This Row],[Windspeed]]&lt;=0.5,"0.40-0.50",dataset3[[#This Row],[Windspeed]]&lt;=0.6,"0.50-0.60")</f>
        <v>0.00 -0.10</v>
      </c>
      <c r="R217" s="1" t="str" cm="1">
        <f t="array" ref="R21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218" spans="1:18" x14ac:dyDescent="0.25">
      <c r="A218" s="1">
        <v>836</v>
      </c>
      <c r="B218" s="3">
        <v>40581</v>
      </c>
      <c r="C218" s="1">
        <v>1</v>
      </c>
      <c r="D218" s="1">
        <v>6</v>
      </c>
      <c r="E218" s="1" t="s">
        <v>27</v>
      </c>
      <c r="F218" s="1">
        <v>1</v>
      </c>
      <c r="G218" s="1">
        <v>1</v>
      </c>
      <c r="H218" s="1" t="str">
        <f t="shared" si="3"/>
        <v>Monday</v>
      </c>
      <c r="I218" s="1" t="str" cm="1">
        <f t="array" ref="I218">_xlfn.IFS(dataset3[[#This Row],[Weather sit]]=1,"1 Clear",dataset3[[#This Row],[Weather sit]]=2,"2 Misty/Cloudy",dataset3[[#This Row],[Weather sit]]=3,"3 Light Snow/Rain",dataset3[[#This Row],[Weather sit]]=4,"4 Heavy Snow/Rain")</f>
        <v>1 Clear</v>
      </c>
      <c r="J218" s="7">
        <v>0.18</v>
      </c>
      <c r="K218" s="7">
        <v>0.2424</v>
      </c>
      <c r="L218" s="7">
        <v>0.93</v>
      </c>
      <c r="M218" s="7">
        <v>0</v>
      </c>
      <c r="N218" s="1">
        <v>1</v>
      </c>
      <c r="O218" s="1">
        <v>29</v>
      </c>
      <c r="P218" s="1">
        <v>30</v>
      </c>
      <c r="Q218" s="1" t="str" cm="1">
        <f t="array" ref="Q218">_xlfn.IFS(dataset3[[#This Row],[Windspeed]]&lt;=0.1,"0.00 -0.10",dataset3[[#This Row],[Windspeed]]&lt;=0.2,"0.10-0.20",dataset3[[#This Row],[Windspeed]]&lt;=0.3,"0.20-0.30",dataset3[[#This Row],[Windspeed]]&lt;=0.4,"0.30-0.40",dataset3[[#This Row],[Windspeed]]&lt;=0.5,"0.40-0.50",dataset3[[#This Row],[Windspeed]]&lt;=0.6,"0.50-0.60")</f>
        <v>0.00 -0.10</v>
      </c>
      <c r="R218" s="1" t="str" cm="1">
        <f t="array" ref="R21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219" spans="1:18" x14ac:dyDescent="0.25">
      <c r="A219" s="1">
        <v>837</v>
      </c>
      <c r="B219" s="3">
        <v>40581</v>
      </c>
      <c r="C219" s="1">
        <v>1</v>
      </c>
      <c r="D219" s="1">
        <v>7</v>
      </c>
      <c r="E219" s="1" t="s">
        <v>27</v>
      </c>
      <c r="F219" s="1">
        <v>1</v>
      </c>
      <c r="G219" s="1">
        <v>1</v>
      </c>
      <c r="H219" s="1" t="str">
        <f t="shared" si="3"/>
        <v>Monday</v>
      </c>
      <c r="I219" s="1" t="str" cm="1">
        <f t="array" ref="I219">_xlfn.IFS(dataset3[[#This Row],[Weather sit]]=1,"1 Clear",dataset3[[#This Row],[Weather sit]]=2,"2 Misty/Cloudy",dataset3[[#This Row],[Weather sit]]=3,"3 Light Snow/Rain",dataset3[[#This Row],[Weather sit]]=4,"4 Heavy Snow/Rain")</f>
        <v>1 Clear</v>
      </c>
      <c r="J219" s="7">
        <v>0.18</v>
      </c>
      <c r="K219" s="7">
        <v>0.2424</v>
      </c>
      <c r="L219" s="7">
        <v>0.86</v>
      </c>
      <c r="M219" s="7">
        <v>0</v>
      </c>
      <c r="N219" s="1">
        <v>6</v>
      </c>
      <c r="O219" s="1">
        <v>89</v>
      </c>
      <c r="P219" s="1">
        <v>95</v>
      </c>
      <c r="Q219" s="1" t="str" cm="1">
        <f t="array" ref="Q219">_xlfn.IFS(dataset3[[#This Row],[Windspeed]]&lt;=0.1,"0.00 -0.10",dataset3[[#This Row],[Windspeed]]&lt;=0.2,"0.10-0.20",dataset3[[#This Row],[Windspeed]]&lt;=0.3,"0.20-0.30",dataset3[[#This Row],[Windspeed]]&lt;=0.4,"0.30-0.40",dataset3[[#This Row],[Windspeed]]&lt;=0.5,"0.40-0.50",dataset3[[#This Row],[Windspeed]]&lt;=0.6,"0.50-0.60")</f>
        <v>0.00 -0.10</v>
      </c>
      <c r="R219" s="1" t="str" cm="1">
        <f t="array" ref="R21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220" spans="1:18" x14ac:dyDescent="0.25">
      <c r="A220" s="1">
        <v>838</v>
      </c>
      <c r="B220" s="3">
        <v>40581</v>
      </c>
      <c r="C220" s="1">
        <v>1</v>
      </c>
      <c r="D220" s="1">
        <v>8</v>
      </c>
      <c r="E220" s="1" t="s">
        <v>27</v>
      </c>
      <c r="F220" s="1">
        <v>1</v>
      </c>
      <c r="G220" s="1">
        <v>2</v>
      </c>
      <c r="H220" s="1" t="str">
        <f t="shared" si="3"/>
        <v>Monday</v>
      </c>
      <c r="I220" s="1" t="str" cm="1">
        <f t="array" ref="I220">_xlfn.IFS(dataset3[[#This Row],[Weather sit]]=1,"1 Clear",dataset3[[#This Row],[Weather sit]]=2,"2 Misty/Cloudy",dataset3[[#This Row],[Weather sit]]=3,"3 Light Snow/Rain",dataset3[[#This Row],[Weather sit]]=4,"4 Heavy Snow/Rain")</f>
        <v>2 Misty/Cloudy</v>
      </c>
      <c r="J220" s="7">
        <v>0.16</v>
      </c>
      <c r="K220" s="7">
        <v>0.2273</v>
      </c>
      <c r="L220" s="7">
        <v>1</v>
      </c>
      <c r="M220" s="7">
        <v>0</v>
      </c>
      <c r="N220" s="1">
        <v>7</v>
      </c>
      <c r="O220" s="1">
        <v>223</v>
      </c>
      <c r="P220" s="1">
        <v>230</v>
      </c>
      <c r="Q220" s="1" t="str" cm="1">
        <f t="array" ref="Q220">_xlfn.IFS(dataset3[[#This Row],[Windspeed]]&lt;=0.1,"0.00 -0.10",dataset3[[#This Row],[Windspeed]]&lt;=0.2,"0.10-0.20",dataset3[[#This Row],[Windspeed]]&lt;=0.3,"0.20-0.30",dataset3[[#This Row],[Windspeed]]&lt;=0.4,"0.30-0.40",dataset3[[#This Row],[Windspeed]]&lt;=0.5,"0.40-0.50",dataset3[[#This Row],[Windspeed]]&lt;=0.6,"0.50-0.60")</f>
        <v>0.00 -0.10</v>
      </c>
      <c r="R220" s="1" t="str" cm="1">
        <f t="array" ref="R22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221" spans="1:18" x14ac:dyDescent="0.25">
      <c r="A221" s="1">
        <v>839</v>
      </c>
      <c r="B221" s="3">
        <v>40581</v>
      </c>
      <c r="C221" s="1">
        <v>1</v>
      </c>
      <c r="D221" s="1">
        <v>9</v>
      </c>
      <c r="E221" s="1" t="s">
        <v>27</v>
      </c>
      <c r="F221" s="1">
        <v>1</v>
      </c>
      <c r="G221" s="1">
        <v>1</v>
      </c>
      <c r="H221" s="1" t="str">
        <f t="shared" si="3"/>
        <v>Monday</v>
      </c>
      <c r="I221" s="1" t="str" cm="1">
        <f t="array" ref="I221">_xlfn.IFS(dataset3[[#This Row],[Weather sit]]=1,"1 Clear",dataset3[[#This Row],[Weather sit]]=2,"2 Misty/Cloudy",dataset3[[#This Row],[Weather sit]]=3,"3 Light Snow/Rain",dataset3[[#This Row],[Weather sit]]=4,"4 Heavy Snow/Rain")</f>
        <v>1 Clear</v>
      </c>
      <c r="J221" s="7">
        <v>0.22</v>
      </c>
      <c r="K221" s="7">
        <v>0.2727</v>
      </c>
      <c r="L221" s="7">
        <v>0.8</v>
      </c>
      <c r="M221" s="7">
        <v>0</v>
      </c>
      <c r="N221" s="1">
        <v>3</v>
      </c>
      <c r="O221" s="1">
        <v>115</v>
      </c>
      <c r="P221" s="1">
        <v>118</v>
      </c>
      <c r="Q221" s="1" t="str" cm="1">
        <f t="array" ref="Q221">_xlfn.IFS(dataset3[[#This Row],[Windspeed]]&lt;=0.1,"0.00 -0.10",dataset3[[#This Row],[Windspeed]]&lt;=0.2,"0.10-0.20",dataset3[[#This Row],[Windspeed]]&lt;=0.3,"0.20-0.30",dataset3[[#This Row],[Windspeed]]&lt;=0.4,"0.30-0.40",dataset3[[#This Row],[Windspeed]]&lt;=0.5,"0.40-0.50",dataset3[[#This Row],[Windspeed]]&lt;=0.6,"0.50-0.60")</f>
        <v>0.00 -0.10</v>
      </c>
      <c r="R221" s="1" t="str" cm="1">
        <f t="array" ref="R22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22" spans="1:18" x14ac:dyDescent="0.25">
      <c r="A222" s="1">
        <v>840</v>
      </c>
      <c r="B222" s="3">
        <v>40581</v>
      </c>
      <c r="C222" s="1">
        <v>1</v>
      </c>
      <c r="D222" s="1">
        <v>10</v>
      </c>
      <c r="E222" s="1" t="s">
        <v>27</v>
      </c>
      <c r="F222" s="1">
        <v>1</v>
      </c>
      <c r="G222" s="1">
        <v>1</v>
      </c>
      <c r="H222" s="1" t="str">
        <f t="shared" si="3"/>
        <v>Monday</v>
      </c>
      <c r="I222" s="1" t="str" cm="1">
        <f t="array" ref="I222">_xlfn.IFS(dataset3[[#This Row],[Weather sit]]=1,"1 Clear",dataset3[[#This Row],[Weather sit]]=2,"2 Misty/Cloudy",dataset3[[#This Row],[Weather sit]]=3,"3 Light Snow/Rain",dataset3[[#This Row],[Weather sit]]=4,"4 Heavy Snow/Rain")</f>
        <v>1 Clear</v>
      </c>
      <c r="J222" s="7">
        <v>0.24</v>
      </c>
      <c r="K222" s="7">
        <v>0.2576</v>
      </c>
      <c r="L222" s="7">
        <v>0.75</v>
      </c>
      <c r="M222" s="7">
        <v>0.1045</v>
      </c>
      <c r="N222" s="1">
        <v>6</v>
      </c>
      <c r="O222" s="1">
        <v>49</v>
      </c>
      <c r="P222" s="1">
        <v>55</v>
      </c>
      <c r="Q222" s="1" t="str" cm="1">
        <f t="array" ref="Q222">_xlfn.IFS(dataset3[[#This Row],[Windspeed]]&lt;=0.1,"0.00 -0.10",dataset3[[#This Row],[Windspeed]]&lt;=0.2,"0.10-0.20",dataset3[[#This Row],[Windspeed]]&lt;=0.3,"0.20-0.30",dataset3[[#This Row],[Windspeed]]&lt;=0.4,"0.30-0.40",dataset3[[#This Row],[Windspeed]]&lt;=0.5,"0.40-0.50",dataset3[[#This Row],[Windspeed]]&lt;=0.6,"0.50-0.60")</f>
        <v>0.10-0.20</v>
      </c>
      <c r="R222" s="1" t="str" cm="1">
        <f t="array" ref="R22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23" spans="1:18" x14ac:dyDescent="0.25">
      <c r="A223" s="1">
        <v>841</v>
      </c>
      <c r="B223" s="3">
        <v>40581</v>
      </c>
      <c r="C223" s="1">
        <v>1</v>
      </c>
      <c r="D223" s="1">
        <v>11</v>
      </c>
      <c r="E223" s="1" t="s">
        <v>27</v>
      </c>
      <c r="F223" s="1">
        <v>1</v>
      </c>
      <c r="G223" s="1">
        <v>1</v>
      </c>
      <c r="H223" s="1" t="str">
        <f t="shared" si="3"/>
        <v>Monday</v>
      </c>
      <c r="I223" s="1" t="str" cm="1">
        <f t="array" ref="I223">_xlfn.IFS(dataset3[[#This Row],[Weather sit]]=1,"1 Clear",dataset3[[#This Row],[Weather sit]]=2,"2 Misty/Cloudy",dataset3[[#This Row],[Weather sit]]=3,"3 Light Snow/Rain",dataset3[[#This Row],[Weather sit]]=4,"4 Heavy Snow/Rain")</f>
        <v>1 Clear</v>
      </c>
      <c r="J223" s="7">
        <v>0.3</v>
      </c>
      <c r="K223" s="7">
        <v>0.31819999999999998</v>
      </c>
      <c r="L223" s="7">
        <v>0.65</v>
      </c>
      <c r="M223" s="7">
        <v>8.9599999999999999E-2</v>
      </c>
      <c r="N223" s="1">
        <v>11</v>
      </c>
      <c r="O223" s="1">
        <v>36</v>
      </c>
      <c r="P223" s="1">
        <v>47</v>
      </c>
      <c r="Q223" s="1" t="str" cm="1">
        <f t="array" ref="Q223">_xlfn.IFS(dataset3[[#This Row],[Windspeed]]&lt;=0.1,"0.00 -0.10",dataset3[[#This Row],[Windspeed]]&lt;=0.2,"0.10-0.20",dataset3[[#This Row],[Windspeed]]&lt;=0.3,"0.20-0.30",dataset3[[#This Row],[Windspeed]]&lt;=0.4,"0.30-0.40",dataset3[[#This Row],[Windspeed]]&lt;=0.5,"0.40-0.50",dataset3[[#This Row],[Windspeed]]&lt;=0.6,"0.50-0.60")</f>
        <v>0.00 -0.10</v>
      </c>
      <c r="R223" s="1" t="str" cm="1">
        <f t="array" ref="R22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224" spans="1:18" x14ac:dyDescent="0.25">
      <c r="A224" s="1">
        <v>842</v>
      </c>
      <c r="B224" s="3">
        <v>40581</v>
      </c>
      <c r="C224" s="1">
        <v>1</v>
      </c>
      <c r="D224" s="1">
        <v>12</v>
      </c>
      <c r="E224" s="1" t="s">
        <v>27</v>
      </c>
      <c r="F224" s="1">
        <v>1</v>
      </c>
      <c r="G224" s="1">
        <v>2</v>
      </c>
      <c r="H224" s="1" t="str">
        <f t="shared" si="3"/>
        <v>Monday</v>
      </c>
      <c r="I224" s="1" t="str" cm="1">
        <f t="array" ref="I224">_xlfn.IFS(dataset3[[#This Row],[Weather sit]]=1,"1 Clear",dataset3[[#This Row],[Weather sit]]=2,"2 Misty/Cloudy",dataset3[[#This Row],[Weather sit]]=3,"3 Light Snow/Rain",dataset3[[#This Row],[Weather sit]]=4,"4 Heavy Snow/Rain")</f>
        <v>2 Misty/Cloudy</v>
      </c>
      <c r="J224" s="7">
        <v>0.32</v>
      </c>
      <c r="K224" s="7">
        <v>0.34849999999999998</v>
      </c>
      <c r="L224" s="7">
        <v>0.62</v>
      </c>
      <c r="M224" s="7">
        <v>0</v>
      </c>
      <c r="N224" s="1">
        <v>7</v>
      </c>
      <c r="O224" s="1">
        <v>59</v>
      </c>
      <c r="P224" s="1">
        <v>66</v>
      </c>
      <c r="Q224" s="1" t="str" cm="1">
        <f t="array" ref="Q224">_xlfn.IFS(dataset3[[#This Row],[Windspeed]]&lt;=0.1,"0.00 -0.10",dataset3[[#This Row],[Windspeed]]&lt;=0.2,"0.10-0.20",dataset3[[#This Row],[Windspeed]]&lt;=0.3,"0.20-0.30",dataset3[[#This Row],[Windspeed]]&lt;=0.4,"0.30-0.40",dataset3[[#This Row],[Windspeed]]&lt;=0.5,"0.40-0.50",dataset3[[#This Row],[Windspeed]]&lt;=0.6,"0.50-0.60")</f>
        <v>0.00 -0.10</v>
      </c>
      <c r="R224" s="1" t="str" cm="1">
        <f t="array" ref="R22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225" spans="1:18" x14ac:dyDescent="0.25">
      <c r="A225" s="1">
        <v>843</v>
      </c>
      <c r="B225" s="3">
        <v>40581</v>
      </c>
      <c r="C225" s="1">
        <v>1</v>
      </c>
      <c r="D225" s="1">
        <v>13</v>
      </c>
      <c r="E225" s="1" t="s">
        <v>27</v>
      </c>
      <c r="F225" s="1">
        <v>1</v>
      </c>
      <c r="G225" s="1">
        <v>2</v>
      </c>
      <c r="H225" s="1" t="str">
        <f t="shared" si="3"/>
        <v>Monday</v>
      </c>
      <c r="I225" s="1" t="str" cm="1">
        <f t="array" ref="I225">_xlfn.IFS(dataset3[[#This Row],[Weather sit]]=1,"1 Clear",dataset3[[#This Row],[Weather sit]]=2,"2 Misty/Cloudy",dataset3[[#This Row],[Weather sit]]=3,"3 Light Snow/Rain",dataset3[[#This Row],[Weather sit]]=4,"4 Heavy Snow/Rain")</f>
        <v>2 Misty/Cloudy</v>
      </c>
      <c r="J225" s="7">
        <v>0.36</v>
      </c>
      <c r="K225" s="7">
        <v>0.36359999999999998</v>
      </c>
      <c r="L225" s="7">
        <v>0.56999999999999995</v>
      </c>
      <c r="M225" s="7">
        <v>8.9599999999999999E-2</v>
      </c>
      <c r="N225" s="1">
        <v>10</v>
      </c>
      <c r="O225" s="1">
        <v>54</v>
      </c>
      <c r="P225" s="1">
        <v>64</v>
      </c>
      <c r="Q225" s="1" t="str" cm="1">
        <f t="array" ref="Q225">_xlfn.IFS(dataset3[[#This Row],[Windspeed]]&lt;=0.1,"0.00 -0.10",dataset3[[#This Row],[Windspeed]]&lt;=0.2,"0.10-0.20",dataset3[[#This Row],[Windspeed]]&lt;=0.3,"0.20-0.30",dataset3[[#This Row],[Windspeed]]&lt;=0.4,"0.30-0.40",dataset3[[#This Row],[Windspeed]]&lt;=0.5,"0.40-0.50",dataset3[[#This Row],[Windspeed]]&lt;=0.6,"0.50-0.60")</f>
        <v>0.00 -0.10</v>
      </c>
      <c r="R225" s="1" t="str" cm="1">
        <f t="array" ref="R22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226" spans="1:18" x14ac:dyDescent="0.25">
      <c r="A226" s="1">
        <v>844</v>
      </c>
      <c r="B226" s="3">
        <v>40581</v>
      </c>
      <c r="C226" s="1">
        <v>1</v>
      </c>
      <c r="D226" s="1">
        <v>14</v>
      </c>
      <c r="E226" s="1" t="s">
        <v>27</v>
      </c>
      <c r="F226" s="1">
        <v>1</v>
      </c>
      <c r="G226" s="1">
        <v>2</v>
      </c>
      <c r="H226" s="1" t="str">
        <f t="shared" si="3"/>
        <v>Monday</v>
      </c>
      <c r="I226" s="1" t="str" cm="1">
        <f t="array" ref="I226">_xlfn.IFS(dataset3[[#This Row],[Weather sit]]=1,"1 Clear",dataset3[[#This Row],[Weather sit]]=2,"2 Misty/Cloudy",dataset3[[#This Row],[Weather sit]]=3,"3 Light Snow/Rain",dataset3[[#This Row],[Weather sit]]=4,"4 Heavy Snow/Rain")</f>
        <v>2 Misty/Cloudy</v>
      </c>
      <c r="J226" s="7">
        <v>0.36</v>
      </c>
      <c r="K226" s="7">
        <v>0.36359999999999998</v>
      </c>
      <c r="L226" s="7">
        <v>0.56999999999999995</v>
      </c>
      <c r="M226" s="7">
        <v>8.9599999999999999E-2</v>
      </c>
      <c r="N226" s="1">
        <v>8</v>
      </c>
      <c r="O226" s="1">
        <v>52</v>
      </c>
      <c r="P226" s="1">
        <v>60</v>
      </c>
      <c r="Q226" s="1" t="str" cm="1">
        <f t="array" ref="Q226">_xlfn.IFS(dataset3[[#This Row],[Windspeed]]&lt;=0.1,"0.00 -0.10",dataset3[[#This Row],[Windspeed]]&lt;=0.2,"0.10-0.20",dataset3[[#This Row],[Windspeed]]&lt;=0.3,"0.20-0.30",dataset3[[#This Row],[Windspeed]]&lt;=0.4,"0.30-0.40",dataset3[[#This Row],[Windspeed]]&lt;=0.5,"0.40-0.50",dataset3[[#This Row],[Windspeed]]&lt;=0.6,"0.50-0.60")</f>
        <v>0.00 -0.10</v>
      </c>
      <c r="R226" s="1" t="str" cm="1">
        <f t="array" ref="R22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227" spans="1:18" x14ac:dyDescent="0.25">
      <c r="A227" s="1">
        <v>845</v>
      </c>
      <c r="B227" s="3">
        <v>40581</v>
      </c>
      <c r="C227" s="1">
        <v>1</v>
      </c>
      <c r="D227" s="1">
        <v>15</v>
      </c>
      <c r="E227" s="1" t="s">
        <v>27</v>
      </c>
      <c r="F227" s="1">
        <v>1</v>
      </c>
      <c r="G227" s="1">
        <v>2</v>
      </c>
      <c r="H227" s="1" t="str">
        <f t="shared" si="3"/>
        <v>Monday</v>
      </c>
      <c r="I227" s="1" t="str" cm="1">
        <f t="array" ref="I227">_xlfn.IFS(dataset3[[#This Row],[Weather sit]]=1,"1 Clear",dataset3[[#This Row],[Weather sit]]=2,"2 Misty/Cloudy",dataset3[[#This Row],[Weather sit]]=3,"3 Light Snow/Rain",dataset3[[#This Row],[Weather sit]]=4,"4 Heavy Snow/Rain")</f>
        <v>2 Misty/Cloudy</v>
      </c>
      <c r="J227" s="7">
        <v>0.38</v>
      </c>
      <c r="K227" s="7">
        <v>0.39389999999999997</v>
      </c>
      <c r="L227" s="7">
        <v>0.54</v>
      </c>
      <c r="M227" s="7">
        <v>8.9599999999999999E-2</v>
      </c>
      <c r="N227" s="1">
        <v>4</v>
      </c>
      <c r="O227" s="1">
        <v>46</v>
      </c>
      <c r="P227" s="1">
        <v>50</v>
      </c>
      <c r="Q227" s="1" t="str" cm="1">
        <f t="array" ref="Q227">_xlfn.IFS(dataset3[[#This Row],[Windspeed]]&lt;=0.1,"0.00 -0.10",dataset3[[#This Row],[Windspeed]]&lt;=0.2,"0.10-0.20",dataset3[[#This Row],[Windspeed]]&lt;=0.3,"0.20-0.30",dataset3[[#This Row],[Windspeed]]&lt;=0.4,"0.30-0.40",dataset3[[#This Row],[Windspeed]]&lt;=0.5,"0.40-0.50",dataset3[[#This Row],[Windspeed]]&lt;=0.6,"0.50-0.60")</f>
        <v>0.00 -0.10</v>
      </c>
      <c r="R227" s="1" t="str" cm="1">
        <f t="array" ref="R22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228" spans="1:18" x14ac:dyDescent="0.25">
      <c r="A228" s="1">
        <v>846</v>
      </c>
      <c r="B228" s="3">
        <v>40581</v>
      </c>
      <c r="C228" s="1">
        <v>1</v>
      </c>
      <c r="D228" s="1">
        <v>16</v>
      </c>
      <c r="E228" s="1" t="s">
        <v>27</v>
      </c>
      <c r="F228" s="1">
        <v>1</v>
      </c>
      <c r="G228" s="1">
        <v>2</v>
      </c>
      <c r="H228" s="1" t="str">
        <f t="shared" si="3"/>
        <v>Monday</v>
      </c>
      <c r="I228" s="1" t="str" cm="1">
        <f t="array" ref="I228">_xlfn.IFS(dataset3[[#This Row],[Weather sit]]=1,"1 Clear",dataset3[[#This Row],[Weather sit]]=2,"2 Misty/Cloudy",dataset3[[#This Row],[Weather sit]]=3,"3 Light Snow/Rain",dataset3[[#This Row],[Weather sit]]=4,"4 Heavy Snow/Rain")</f>
        <v>2 Misty/Cloudy</v>
      </c>
      <c r="J228" s="7">
        <v>0.36</v>
      </c>
      <c r="K228" s="7">
        <v>0.34849999999999998</v>
      </c>
      <c r="L228" s="7">
        <v>0.56999999999999995</v>
      </c>
      <c r="M228" s="7">
        <v>0.1343</v>
      </c>
      <c r="N228" s="1">
        <v>16</v>
      </c>
      <c r="O228" s="1">
        <v>98</v>
      </c>
      <c r="P228" s="1">
        <v>114</v>
      </c>
      <c r="Q228" s="1" t="str" cm="1">
        <f t="array" ref="Q228">_xlfn.IFS(dataset3[[#This Row],[Windspeed]]&lt;=0.1,"0.00 -0.10",dataset3[[#This Row],[Windspeed]]&lt;=0.2,"0.10-0.20",dataset3[[#This Row],[Windspeed]]&lt;=0.3,"0.20-0.30",dataset3[[#This Row],[Windspeed]]&lt;=0.4,"0.30-0.40",dataset3[[#This Row],[Windspeed]]&lt;=0.5,"0.40-0.50",dataset3[[#This Row],[Windspeed]]&lt;=0.6,"0.50-0.60")</f>
        <v>0.10-0.20</v>
      </c>
      <c r="R228" s="1" t="str" cm="1">
        <f t="array" ref="R22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229" spans="1:18" x14ac:dyDescent="0.25">
      <c r="A229" s="1">
        <v>847</v>
      </c>
      <c r="B229" s="3">
        <v>40581</v>
      </c>
      <c r="C229" s="1">
        <v>1</v>
      </c>
      <c r="D229" s="1">
        <v>17</v>
      </c>
      <c r="E229" s="1" t="s">
        <v>27</v>
      </c>
      <c r="F229" s="1">
        <v>1</v>
      </c>
      <c r="G229" s="1">
        <v>2</v>
      </c>
      <c r="H229" s="1" t="str">
        <f t="shared" si="3"/>
        <v>Monday</v>
      </c>
      <c r="I229" s="1" t="str" cm="1">
        <f t="array" ref="I229">_xlfn.IFS(dataset3[[#This Row],[Weather sit]]=1,"1 Clear",dataset3[[#This Row],[Weather sit]]=2,"2 Misty/Cloudy",dataset3[[#This Row],[Weather sit]]=3,"3 Light Snow/Rain",dataset3[[#This Row],[Weather sit]]=4,"4 Heavy Snow/Rain")</f>
        <v>2 Misty/Cloudy</v>
      </c>
      <c r="J229" s="7">
        <v>0.32</v>
      </c>
      <c r="K229" s="7">
        <v>0.31819999999999998</v>
      </c>
      <c r="L229" s="7">
        <v>0.7</v>
      </c>
      <c r="M229" s="7">
        <v>0.16420000000000001</v>
      </c>
      <c r="N229" s="1">
        <v>9</v>
      </c>
      <c r="O229" s="1">
        <v>207</v>
      </c>
      <c r="P229" s="1">
        <v>216</v>
      </c>
      <c r="Q229" s="1" t="str" cm="1">
        <f t="array" ref="Q229">_xlfn.IFS(dataset3[[#This Row],[Windspeed]]&lt;=0.1,"0.00 -0.10",dataset3[[#This Row],[Windspeed]]&lt;=0.2,"0.10-0.20",dataset3[[#This Row],[Windspeed]]&lt;=0.3,"0.20-0.30",dataset3[[#This Row],[Windspeed]]&lt;=0.4,"0.30-0.40",dataset3[[#This Row],[Windspeed]]&lt;=0.5,"0.40-0.50",dataset3[[#This Row],[Windspeed]]&lt;=0.6,"0.50-0.60")</f>
        <v>0.10-0.20</v>
      </c>
      <c r="R229" s="1" t="str" cm="1">
        <f t="array" ref="R22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230" spans="1:18" x14ac:dyDescent="0.25">
      <c r="A230" s="1">
        <v>848</v>
      </c>
      <c r="B230" s="3">
        <v>40581</v>
      </c>
      <c r="C230" s="1">
        <v>1</v>
      </c>
      <c r="D230" s="1">
        <v>18</v>
      </c>
      <c r="E230" s="1" t="s">
        <v>27</v>
      </c>
      <c r="F230" s="1">
        <v>1</v>
      </c>
      <c r="G230" s="1">
        <v>2</v>
      </c>
      <c r="H230" s="1" t="str">
        <f t="shared" si="3"/>
        <v>Monday</v>
      </c>
      <c r="I230" s="1" t="str" cm="1">
        <f t="array" ref="I230">_xlfn.IFS(dataset3[[#This Row],[Weather sit]]=1,"1 Clear",dataset3[[#This Row],[Weather sit]]=2,"2 Misty/Cloudy",dataset3[[#This Row],[Weather sit]]=3,"3 Light Snow/Rain",dataset3[[#This Row],[Weather sit]]=4,"4 Heavy Snow/Rain")</f>
        <v>2 Misty/Cloudy</v>
      </c>
      <c r="J230" s="7">
        <v>0.34</v>
      </c>
      <c r="K230" s="7">
        <v>0.33329999999999999</v>
      </c>
      <c r="L230" s="7">
        <v>0.66</v>
      </c>
      <c r="M230" s="7">
        <v>0.1343</v>
      </c>
      <c r="N230" s="1">
        <v>5</v>
      </c>
      <c r="O230" s="1">
        <v>170</v>
      </c>
      <c r="P230" s="1">
        <v>175</v>
      </c>
      <c r="Q230" s="1" t="str" cm="1">
        <f t="array" ref="Q230">_xlfn.IFS(dataset3[[#This Row],[Windspeed]]&lt;=0.1,"0.00 -0.10",dataset3[[#This Row],[Windspeed]]&lt;=0.2,"0.10-0.20",dataset3[[#This Row],[Windspeed]]&lt;=0.3,"0.20-0.30",dataset3[[#This Row],[Windspeed]]&lt;=0.4,"0.30-0.40",dataset3[[#This Row],[Windspeed]]&lt;=0.5,"0.40-0.50",dataset3[[#This Row],[Windspeed]]&lt;=0.6,"0.50-0.60")</f>
        <v>0.10-0.20</v>
      </c>
      <c r="R230" s="1" t="str" cm="1">
        <f t="array" ref="R23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231" spans="1:18" x14ac:dyDescent="0.25">
      <c r="A231" s="1">
        <v>849</v>
      </c>
      <c r="B231" s="3">
        <v>40581</v>
      </c>
      <c r="C231" s="1">
        <v>1</v>
      </c>
      <c r="D231" s="1">
        <v>19</v>
      </c>
      <c r="E231" s="1" t="s">
        <v>27</v>
      </c>
      <c r="F231" s="1">
        <v>1</v>
      </c>
      <c r="G231" s="1">
        <v>2</v>
      </c>
      <c r="H231" s="1" t="str">
        <f t="shared" si="3"/>
        <v>Monday</v>
      </c>
      <c r="I231" s="1" t="str" cm="1">
        <f t="array" ref="I231">_xlfn.IFS(dataset3[[#This Row],[Weather sit]]=1,"1 Clear",dataset3[[#This Row],[Weather sit]]=2,"2 Misty/Cloudy",dataset3[[#This Row],[Weather sit]]=3,"3 Light Snow/Rain",dataset3[[#This Row],[Weather sit]]=4,"4 Heavy Snow/Rain")</f>
        <v>2 Misty/Cloudy</v>
      </c>
      <c r="J231" s="7">
        <v>0.32</v>
      </c>
      <c r="K231" s="7">
        <v>0.34849999999999998</v>
      </c>
      <c r="L231" s="7">
        <v>0.7</v>
      </c>
      <c r="M231" s="7">
        <v>0</v>
      </c>
      <c r="N231" s="1">
        <v>5</v>
      </c>
      <c r="O231" s="1">
        <v>123</v>
      </c>
      <c r="P231" s="1">
        <v>128</v>
      </c>
      <c r="Q231" s="1" t="str" cm="1">
        <f t="array" ref="Q231">_xlfn.IFS(dataset3[[#This Row],[Windspeed]]&lt;=0.1,"0.00 -0.10",dataset3[[#This Row],[Windspeed]]&lt;=0.2,"0.10-0.20",dataset3[[#This Row],[Windspeed]]&lt;=0.3,"0.20-0.30",dataset3[[#This Row],[Windspeed]]&lt;=0.4,"0.30-0.40",dataset3[[#This Row],[Windspeed]]&lt;=0.5,"0.40-0.50",dataset3[[#This Row],[Windspeed]]&lt;=0.6,"0.50-0.60")</f>
        <v>0.00 -0.10</v>
      </c>
      <c r="R231" s="1" t="str" cm="1">
        <f t="array" ref="R23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232" spans="1:18" x14ac:dyDescent="0.25">
      <c r="A232" s="1">
        <v>850</v>
      </c>
      <c r="B232" s="3">
        <v>40581</v>
      </c>
      <c r="C232" s="1">
        <v>1</v>
      </c>
      <c r="D232" s="1">
        <v>20</v>
      </c>
      <c r="E232" s="1" t="s">
        <v>27</v>
      </c>
      <c r="F232" s="1">
        <v>1</v>
      </c>
      <c r="G232" s="1">
        <v>2</v>
      </c>
      <c r="H232" s="1" t="str">
        <f t="shared" si="3"/>
        <v>Monday</v>
      </c>
      <c r="I232" s="1" t="str" cm="1">
        <f t="array" ref="I232">_xlfn.IFS(dataset3[[#This Row],[Weather sit]]=1,"1 Clear",dataset3[[#This Row],[Weather sit]]=2,"2 Misty/Cloudy",dataset3[[#This Row],[Weather sit]]=3,"3 Light Snow/Rain",dataset3[[#This Row],[Weather sit]]=4,"4 Heavy Snow/Rain")</f>
        <v>2 Misty/Cloudy</v>
      </c>
      <c r="J232" s="7">
        <v>0.32</v>
      </c>
      <c r="K232" s="7">
        <v>0.33329999999999999</v>
      </c>
      <c r="L232" s="7">
        <v>0.7</v>
      </c>
      <c r="M232" s="7">
        <v>0.1045</v>
      </c>
      <c r="N232" s="1">
        <v>6</v>
      </c>
      <c r="O232" s="1">
        <v>82</v>
      </c>
      <c r="P232" s="1">
        <v>88</v>
      </c>
      <c r="Q232" s="1" t="str" cm="1">
        <f t="array" ref="Q232">_xlfn.IFS(dataset3[[#This Row],[Windspeed]]&lt;=0.1,"0.00 -0.10",dataset3[[#This Row],[Windspeed]]&lt;=0.2,"0.10-0.20",dataset3[[#This Row],[Windspeed]]&lt;=0.3,"0.20-0.30",dataset3[[#This Row],[Windspeed]]&lt;=0.4,"0.30-0.40",dataset3[[#This Row],[Windspeed]]&lt;=0.5,"0.40-0.50",dataset3[[#This Row],[Windspeed]]&lt;=0.6,"0.50-0.60")</f>
        <v>0.10-0.20</v>
      </c>
      <c r="R232" s="1" t="str" cm="1">
        <f t="array" ref="R23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233" spans="1:18" x14ac:dyDescent="0.25">
      <c r="A233" s="1">
        <v>851</v>
      </c>
      <c r="B233" s="3">
        <v>40581</v>
      </c>
      <c r="C233" s="1">
        <v>1</v>
      </c>
      <c r="D233" s="1">
        <v>21</v>
      </c>
      <c r="E233" s="1" t="s">
        <v>27</v>
      </c>
      <c r="F233" s="1">
        <v>1</v>
      </c>
      <c r="G233" s="1">
        <v>1</v>
      </c>
      <c r="H233" s="1" t="str">
        <f t="shared" si="3"/>
        <v>Monday</v>
      </c>
      <c r="I233" s="1" t="str" cm="1">
        <f t="array" ref="I233">_xlfn.IFS(dataset3[[#This Row],[Weather sit]]=1,"1 Clear",dataset3[[#This Row],[Weather sit]]=2,"2 Misty/Cloudy",dataset3[[#This Row],[Weather sit]]=3,"3 Light Snow/Rain",dataset3[[#This Row],[Weather sit]]=4,"4 Heavy Snow/Rain")</f>
        <v>1 Clear</v>
      </c>
      <c r="J233" s="7">
        <v>0.32</v>
      </c>
      <c r="K233" s="7">
        <v>0.34849999999999998</v>
      </c>
      <c r="L233" s="7">
        <v>0.7</v>
      </c>
      <c r="M233" s="7">
        <v>0</v>
      </c>
      <c r="N233" s="1">
        <v>3</v>
      </c>
      <c r="O233" s="1">
        <v>75</v>
      </c>
      <c r="P233" s="1">
        <v>78</v>
      </c>
      <c r="Q233" s="1" t="str" cm="1">
        <f t="array" ref="Q233">_xlfn.IFS(dataset3[[#This Row],[Windspeed]]&lt;=0.1,"0.00 -0.10",dataset3[[#This Row],[Windspeed]]&lt;=0.2,"0.10-0.20",dataset3[[#This Row],[Windspeed]]&lt;=0.3,"0.20-0.30",dataset3[[#This Row],[Windspeed]]&lt;=0.4,"0.30-0.40",dataset3[[#This Row],[Windspeed]]&lt;=0.5,"0.40-0.50",dataset3[[#This Row],[Windspeed]]&lt;=0.6,"0.50-0.60")</f>
        <v>0.00 -0.10</v>
      </c>
      <c r="R233" s="1" t="str" cm="1">
        <f t="array" ref="R23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234" spans="1:18" x14ac:dyDescent="0.25">
      <c r="A234" s="1">
        <v>852</v>
      </c>
      <c r="B234" s="3">
        <v>40581</v>
      </c>
      <c r="C234" s="1">
        <v>1</v>
      </c>
      <c r="D234" s="1">
        <v>22</v>
      </c>
      <c r="E234" s="1" t="s">
        <v>27</v>
      </c>
      <c r="F234" s="1">
        <v>1</v>
      </c>
      <c r="G234" s="1">
        <v>1</v>
      </c>
      <c r="H234" s="1" t="str">
        <f t="shared" si="3"/>
        <v>Monday</v>
      </c>
      <c r="I234" s="1" t="str" cm="1">
        <f t="array" ref="I234">_xlfn.IFS(dataset3[[#This Row],[Weather sit]]=1,"1 Clear",dataset3[[#This Row],[Weather sit]]=2,"2 Misty/Cloudy",dataset3[[#This Row],[Weather sit]]=3,"3 Light Snow/Rain",dataset3[[#This Row],[Weather sit]]=4,"4 Heavy Snow/Rain")</f>
        <v>1 Clear</v>
      </c>
      <c r="J234" s="7">
        <v>0.28000000000000003</v>
      </c>
      <c r="K234" s="7">
        <v>0.30299999999999999</v>
      </c>
      <c r="L234" s="7">
        <v>0.81</v>
      </c>
      <c r="M234" s="7">
        <v>8.9599999999999999E-2</v>
      </c>
      <c r="N234" s="1">
        <v>3</v>
      </c>
      <c r="O234" s="1">
        <v>34</v>
      </c>
      <c r="P234" s="1">
        <v>37</v>
      </c>
      <c r="Q234" s="1" t="str" cm="1">
        <f t="array" ref="Q234">_xlfn.IFS(dataset3[[#This Row],[Windspeed]]&lt;=0.1,"0.00 -0.10",dataset3[[#This Row],[Windspeed]]&lt;=0.2,"0.10-0.20",dataset3[[#This Row],[Windspeed]]&lt;=0.3,"0.20-0.30",dataset3[[#This Row],[Windspeed]]&lt;=0.4,"0.30-0.40",dataset3[[#This Row],[Windspeed]]&lt;=0.5,"0.40-0.50",dataset3[[#This Row],[Windspeed]]&lt;=0.6,"0.50-0.60")</f>
        <v>0.00 -0.10</v>
      </c>
      <c r="R234" s="1" t="str" cm="1">
        <f t="array" ref="R23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235" spans="1:18" x14ac:dyDescent="0.25">
      <c r="A235" s="1">
        <v>853</v>
      </c>
      <c r="B235" s="3">
        <v>40581</v>
      </c>
      <c r="C235" s="1">
        <v>1</v>
      </c>
      <c r="D235" s="1">
        <v>23</v>
      </c>
      <c r="E235" s="1" t="s">
        <v>27</v>
      </c>
      <c r="F235" s="1">
        <v>1</v>
      </c>
      <c r="G235" s="1">
        <v>2</v>
      </c>
      <c r="H235" s="1" t="str">
        <f t="shared" si="3"/>
        <v>Monday</v>
      </c>
      <c r="I235" s="1" t="str" cm="1">
        <f t="array" ref="I235">_xlfn.IFS(dataset3[[#This Row],[Weather sit]]=1,"1 Clear",dataset3[[#This Row],[Weather sit]]=2,"2 Misty/Cloudy",dataset3[[#This Row],[Weather sit]]=3,"3 Light Snow/Rain",dataset3[[#This Row],[Weather sit]]=4,"4 Heavy Snow/Rain")</f>
        <v>2 Misty/Cloudy</v>
      </c>
      <c r="J235" s="7">
        <v>0.3</v>
      </c>
      <c r="K235" s="7">
        <v>0.33329999999999999</v>
      </c>
      <c r="L235" s="7">
        <v>0.81</v>
      </c>
      <c r="M235" s="7">
        <v>0</v>
      </c>
      <c r="N235" s="1">
        <v>6</v>
      </c>
      <c r="O235" s="1">
        <v>19</v>
      </c>
      <c r="P235" s="1">
        <v>25</v>
      </c>
      <c r="Q235" s="1" t="str" cm="1">
        <f t="array" ref="Q235">_xlfn.IFS(dataset3[[#This Row],[Windspeed]]&lt;=0.1,"0.00 -0.10",dataset3[[#This Row],[Windspeed]]&lt;=0.2,"0.10-0.20",dataset3[[#This Row],[Windspeed]]&lt;=0.3,"0.20-0.30",dataset3[[#This Row],[Windspeed]]&lt;=0.4,"0.30-0.40",dataset3[[#This Row],[Windspeed]]&lt;=0.5,"0.40-0.50",dataset3[[#This Row],[Windspeed]]&lt;=0.6,"0.50-0.60")</f>
        <v>0.00 -0.10</v>
      </c>
      <c r="R235" s="1" t="str" cm="1">
        <f t="array" ref="R23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236" spans="1:18" x14ac:dyDescent="0.25">
      <c r="A236" s="1">
        <v>854</v>
      </c>
      <c r="B236" s="3">
        <v>40582</v>
      </c>
      <c r="C236" s="1">
        <v>1</v>
      </c>
      <c r="D236" s="1">
        <v>0</v>
      </c>
      <c r="E236" s="1" t="s">
        <v>27</v>
      </c>
      <c r="F236" s="1">
        <v>2</v>
      </c>
      <c r="G236" s="1">
        <v>2</v>
      </c>
      <c r="H236" s="1" t="str">
        <f t="shared" si="3"/>
        <v>Tuesday</v>
      </c>
      <c r="I236" s="1" t="str" cm="1">
        <f t="array" ref="I236">_xlfn.IFS(dataset3[[#This Row],[Weather sit]]=1,"1 Clear",dataset3[[#This Row],[Weather sit]]=2,"2 Misty/Cloudy",dataset3[[#This Row],[Weather sit]]=3,"3 Light Snow/Rain",dataset3[[#This Row],[Weather sit]]=4,"4 Heavy Snow/Rain")</f>
        <v>2 Misty/Cloudy</v>
      </c>
      <c r="J236" s="7">
        <v>0.28000000000000003</v>
      </c>
      <c r="K236" s="7">
        <v>0.31819999999999998</v>
      </c>
      <c r="L236" s="7">
        <v>0.87</v>
      </c>
      <c r="M236" s="7">
        <v>0</v>
      </c>
      <c r="N236" s="1">
        <v>4</v>
      </c>
      <c r="O236" s="1">
        <v>6</v>
      </c>
      <c r="P236" s="1">
        <v>10</v>
      </c>
      <c r="Q236" s="1" t="str" cm="1">
        <f t="array" ref="Q236">_xlfn.IFS(dataset3[[#This Row],[Windspeed]]&lt;=0.1,"0.00 -0.10",dataset3[[#This Row],[Windspeed]]&lt;=0.2,"0.10-0.20",dataset3[[#This Row],[Windspeed]]&lt;=0.3,"0.20-0.30",dataset3[[#This Row],[Windspeed]]&lt;=0.4,"0.30-0.40",dataset3[[#This Row],[Windspeed]]&lt;=0.5,"0.40-0.50",dataset3[[#This Row],[Windspeed]]&lt;=0.6,"0.50-0.60")</f>
        <v>0.00 -0.10</v>
      </c>
      <c r="R236" s="1" t="str" cm="1">
        <f t="array" ref="R23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237" spans="1:18" x14ac:dyDescent="0.25">
      <c r="A237" s="1">
        <v>855</v>
      </c>
      <c r="B237" s="3">
        <v>40582</v>
      </c>
      <c r="C237" s="1">
        <v>1</v>
      </c>
      <c r="D237" s="1">
        <v>1</v>
      </c>
      <c r="E237" s="1" t="s">
        <v>27</v>
      </c>
      <c r="F237" s="1">
        <v>2</v>
      </c>
      <c r="G237" s="1">
        <v>2</v>
      </c>
      <c r="H237" s="1" t="str">
        <f t="shared" si="3"/>
        <v>Tuesday</v>
      </c>
      <c r="I237" s="1" t="str" cm="1">
        <f t="array" ref="I237">_xlfn.IFS(dataset3[[#This Row],[Weather sit]]=1,"1 Clear",dataset3[[#This Row],[Weather sit]]=2,"2 Misty/Cloudy",dataset3[[#This Row],[Weather sit]]=3,"3 Light Snow/Rain",dataset3[[#This Row],[Weather sit]]=4,"4 Heavy Snow/Rain")</f>
        <v>2 Misty/Cloudy</v>
      </c>
      <c r="J237" s="7">
        <v>0.28000000000000003</v>
      </c>
      <c r="K237" s="7">
        <v>0.31819999999999998</v>
      </c>
      <c r="L237" s="7">
        <v>0.87</v>
      </c>
      <c r="M237" s="7">
        <v>0</v>
      </c>
      <c r="N237" s="1">
        <v>0</v>
      </c>
      <c r="O237" s="1">
        <v>4</v>
      </c>
      <c r="P237" s="1">
        <v>4</v>
      </c>
      <c r="Q237" s="1" t="str" cm="1">
        <f t="array" ref="Q237">_xlfn.IFS(dataset3[[#This Row],[Windspeed]]&lt;=0.1,"0.00 -0.10",dataset3[[#This Row],[Windspeed]]&lt;=0.2,"0.10-0.20",dataset3[[#This Row],[Windspeed]]&lt;=0.3,"0.20-0.30",dataset3[[#This Row],[Windspeed]]&lt;=0.4,"0.30-0.40",dataset3[[#This Row],[Windspeed]]&lt;=0.5,"0.40-0.50",dataset3[[#This Row],[Windspeed]]&lt;=0.6,"0.50-0.60")</f>
        <v>0.00 -0.10</v>
      </c>
      <c r="R237" s="1" t="str" cm="1">
        <f t="array" ref="R23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238" spans="1:18" x14ac:dyDescent="0.25">
      <c r="A238" s="1">
        <v>856</v>
      </c>
      <c r="B238" s="3">
        <v>40582</v>
      </c>
      <c r="C238" s="1">
        <v>1</v>
      </c>
      <c r="D238" s="1">
        <v>2</v>
      </c>
      <c r="E238" s="1" t="s">
        <v>27</v>
      </c>
      <c r="F238" s="1">
        <v>2</v>
      </c>
      <c r="G238" s="1">
        <v>2</v>
      </c>
      <c r="H238" s="1" t="str">
        <f t="shared" si="3"/>
        <v>Tuesday</v>
      </c>
      <c r="I238" s="1" t="str" cm="1">
        <f t="array" ref="I238">_xlfn.IFS(dataset3[[#This Row],[Weather sit]]=1,"1 Clear",dataset3[[#This Row],[Weather sit]]=2,"2 Misty/Cloudy",dataset3[[#This Row],[Weather sit]]=3,"3 Light Snow/Rain",dataset3[[#This Row],[Weather sit]]=4,"4 Heavy Snow/Rain")</f>
        <v>2 Misty/Cloudy</v>
      </c>
      <c r="J238" s="7">
        <v>0.26</v>
      </c>
      <c r="K238" s="7">
        <v>0.2727</v>
      </c>
      <c r="L238" s="7">
        <v>0.93</v>
      </c>
      <c r="M238" s="7">
        <v>0.1045</v>
      </c>
      <c r="N238" s="1">
        <v>1</v>
      </c>
      <c r="O238" s="1">
        <v>1</v>
      </c>
      <c r="P238" s="1">
        <v>2</v>
      </c>
      <c r="Q238" s="1" t="str" cm="1">
        <f t="array" ref="Q238">_xlfn.IFS(dataset3[[#This Row],[Windspeed]]&lt;=0.1,"0.00 -0.10",dataset3[[#This Row],[Windspeed]]&lt;=0.2,"0.10-0.20",dataset3[[#This Row],[Windspeed]]&lt;=0.3,"0.20-0.30",dataset3[[#This Row],[Windspeed]]&lt;=0.4,"0.30-0.40",dataset3[[#This Row],[Windspeed]]&lt;=0.5,"0.40-0.50",dataset3[[#This Row],[Windspeed]]&lt;=0.6,"0.50-0.60")</f>
        <v>0.10-0.20</v>
      </c>
      <c r="R238" s="1" t="str" cm="1">
        <f t="array" ref="R23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239" spans="1:18" x14ac:dyDescent="0.25">
      <c r="A239" s="1">
        <v>857</v>
      </c>
      <c r="B239" s="3">
        <v>40582</v>
      </c>
      <c r="C239" s="1">
        <v>1</v>
      </c>
      <c r="D239" s="1">
        <v>3</v>
      </c>
      <c r="E239" s="1" t="s">
        <v>27</v>
      </c>
      <c r="F239" s="1">
        <v>2</v>
      </c>
      <c r="G239" s="1">
        <v>3</v>
      </c>
      <c r="H239" s="1" t="str">
        <f t="shared" si="3"/>
        <v>Tuesday</v>
      </c>
      <c r="I239" s="1" t="str" cm="1">
        <f t="array" ref="I239">_xlfn.IFS(dataset3[[#This Row],[Weather sit]]=1,"1 Clear",dataset3[[#This Row],[Weather sit]]=2,"2 Misty/Cloudy",dataset3[[#This Row],[Weather sit]]=3,"3 Light Snow/Rain",dataset3[[#This Row],[Weather sit]]=4,"4 Heavy Snow/Rain")</f>
        <v>3 Light Snow/Rain</v>
      </c>
      <c r="J239" s="7">
        <v>0.28000000000000003</v>
      </c>
      <c r="K239" s="7">
        <v>0.2727</v>
      </c>
      <c r="L239" s="7">
        <v>0.93</v>
      </c>
      <c r="M239" s="7">
        <v>0.16420000000000001</v>
      </c>
      <c r="N239" s="1">
        <v>0</v>
      </c>
      <c r="O239" s="1">
        <v>1</v>
      </c>
      <c r="P239" s="1">
        <v>1</v>
      </c>
      <c r="Q239" s="1" t="str" cm="1">
        <f t="array" ref="Q239">_xlfn.IFS(dataset3[[#This Row],[Windspeed]]&lt;=0.1,"0.00 -0.10",dataset3[[#This Row],[Windspeed]]&lt;=0.2,"0.10-0.20",dataset3[[#This Row],[Windspeed]]&lt;=0.3,"0.20-0.30",dataset3[[#This Row],[Windspeed]]&lt;=0.4,"0.30-0.40",dataset3[[#This Row],[Windspeed]]&lt;=0.5,"0.40-0.50",dataset3[[#This Row],[Windspeed]]&lt;=0.6,"0.50-0.60")</f>
        <v>0.10-0.20</v>
      </c>
      <c r="R239" s="1" t="str" cm="1">
        <f t="array" ref="R23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240" spans="1:18" x14ac:dyDescent="0.25">
      <c r="A240" s="1">
        <v>858</v>
      </c>
      <c r="B240" s="3">
        <v>40582</v>
      </c>
      <c r="C240" s="1">
        <v>1</v>
      </c>
      <c r="D240" s="1">
        <v>4</v>
      </c>
      <c r="E240" s="1" t="s">
        <v>27</v>
      </c>
      <c r="F240" s="1">
        <v>2</v>
      </c>
      <c r="G240" s="1">
        <v>1</v>
      </c>
      <c r="H240" s="1" t="str">
        <f t="shared" si="3"/>
        <v>Tuesday</v>
      </c>
      <c r="I240" s="1" t="str" cm="1">
        <f t="array" ref="I240">_xlfn.IFS(dataset3[[#This Row],[Weather sit]]=1,"1 Clear",dataset3[[#This Row],[Weather sit]]=2,"2 Misty/Cloudy",dataset3[[#This Row],[Weather sit]]=3,"3 Light Snow/Rain",dataset3[[#This Row],[Weather sit]]=4,"4 Heavy Snow/Rain")</f>
        <v>1 Clear</v>
      </c>
      <c r="J240" s="7">
        <v>0.26</v>
      </c>
      <c r="K240" s="7">
        <v>0.2576</v>
      </c>
      <c r="L240" s="7">
        <v>0.93</v>
      </c>
      <c r="M240" s="7">
        <v>0.16420000000000001</v>
      </c>
      <c r="N240" s="1">
        <v>0</v>
      </c>
      <c r="O240" s="1">
        <v>3</v>
      </c>
      <c r="P240" s="1">
        <v>3</v>
      </c>
      <c r="Q240" s="1" t="str" cm="1">
        <f t="array" ref="Q240">_xlfn.IFS(dataset3[[#This Row],[Windspeed]]&lt;=0.1,"0.00 -0.10",dataset3[[#This Row],[Windspeed]]&lt;=0.2,"0.10-0.20",dataset3[[#This Row],[Windspeed]]&lt;=0.3,"0.20-0.30",dataset3[[#This Row],[Windspeed]]&lt;=0.4,"0.30-0.40",dataset3[[#This Row],[Windspeed]]&lt;=0.5,"0.40-0.50",dataset3[[#This Row],[Windspeed]]&lt;=0.6,"0.50-0.60")</f>
        <v>0.10-0.20</v>
      </c>
      <c r="R240" s="1" t="str" cm="1">
        <f t="array" ref="R24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241" spans="1:18" x14ac:dyDescent="0.25">
      <c r="A241" s="1">
        <v>859</v>
      </c>
      <c r="B241" s="3">
        <v>40582</v>
      </c>
      <c r="C241" s="1">
        <v>1</v>
      </c>
      <c r="D241" s="1">
        <v>5</v>
      </c>
      <c r="E241" s="1" t="s">
        <v>27</v>
      </c>
      <c r="F241" s="1">
        <v>2</v>
      </c>
      <c r="G241" s="1">
        <v>1</v>
      </c>
      <c r="H241" s="1" t="str">
        <f t="shared" si="3"/>
        <v>Tuesday</v>
      </c>
      <c r="I241" s="1" t="str" cm="1">
        <f t="array" ref="I241">_xlfn.IFS(dataset3[[#This Row],[Weather sit]]=1,"1 Clear",dataset3[[#This Row],[Weather sit]]=2,"2 Misty/Cloudy",dataset3[[#This Row],[Weather sit]]=3,"3 Light Snow/Rain",dataset3[[#This Row],[Weather sit]]=4,"4 Heavy Snow/Rain")</f>
        <v>1 Clear</v>
      </c>
      <c r="J241" s="7">
        <v>0.26</v>
      </c>
      <c r="K241" s="7">
        <v>0.2273</v>
      </c>
      <c r="L241" s="7">
        <v>0.81</v>
      </c>
      <c r="M241" s="7">
        <v>0.32840000000000003</v>
      </c>
      <c r="N241" s="1">
        <v>0</v>
      </c>
      <c r="O241" s="1">
        <v>2</v>
      </c>
      <c r="P241" s="1">
        <v>2</v>
      </c>
      <c r="Q241" s="1" t="str" cm="1">
        <f t="array" ref="Q241">_xlfn.IFS(dataset3[[#This Row],[Windspeed]]&lt;=0.1,"0.00 -0.10",dataset3[[#This Row],[Windspeed]]&lt;=0.2,"0.10-0.20",dataset3[[#This Row],[Windspeed]]&lt;=0.3,"0.20-0.30",dataset3[[#This Row],[Windspeed]]&lt;=0.4,"0.30-0.40",dataset3[[#This Row],[Windspeed]]&lt;=0.5,"0.40-0.50",dataset3[[#This Row],[Windspeed]]&lt;=0.6,"0.50-0.60")</f>
        <v>0.30-0.40</v>
      </c>
      <c r="R241" s="1" t="str" cm="1">
        <f t="array" ref="R24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242" spans="1:18" x14ac:dyDescent="0.25">
      <c r="A242" s="1">
        <v>860</v>
      </c>
      <c r="B242" s="3">
        <v>40582</v>
      </c>
      <c r="C242" s="1">
        <v>1</v>
      </c>
      <c r="D242" s="1">
        <v>6</v>
      </c>
      <c r="E242" s="1" t="s">
        <v>27</v>
      </c>
      <c r="F242" s="1">
        <v>2</v>
      </c>
      <c r="G242" s="1">
        <v>1</v>
      </c>
      <c r="H242" s="1" t="str">
        <f t="shared" si="3"/>
        <v>Tuesday</v>
      </c>
      <c r="I242" s="1" t="str" cm="1">
        <f t="array" ref="I242">_xlfn.IFS(dataset3[[#This Row],[Weather sit]]=1,"1 Clear",dataset3[[#This Row],[Weather sit]]=2,"2 Misty/Cloudy",dataset3[[#This Row],[Weather sit]]=3,"3 Light Snow/Rain",dataset3[[#This Row],[Weather sit]]=4,"4 Heavy Snow/Rain")</f>
        <v>1 Clear</v>
      </c>
      <c r="J242" s="7">
        <v>0.26</v>
      </c>
      <c r="K242" s="7">
        <v>0.2273</v>
      </c>
      <c r="L242" s="7">
        <v>0.7</v>
      </c>
      <c r="M242" s="7">
        <v>0.32840000000000003</v>
      </c>
      <c r="N242" s="1">
        <v>0</v>
      </c>
      <c r="O242" s="1">
        <v>39</v>
      </c>
      <c r="P242" s="1">
        <v>39</v>
      </c>
      <c r="Q242" s="1" t="str" cm="1">
        <f t="array" ref="Q242">_xlfn.IFS(dataset3[[#This Row],[Windspeed]]&lt;=0.1,"0.00 -0.10",dataset3[[#This Row],[Windspeed]]&lt;=0.2,"0.10-0.20",dataset3[[#This Row],[Windspeed]]&lt;=0.3,"0.20-0.30",dataset3[[#This Row],[Windspeed]]&lt;=0.4,"0.30-0.40",dataset3[[#This Row],[Windspeed]]&lt;=0.5,"0.40-0.50",dataset3[[#This Row],[Windspeed]]&lt;=0.6,"0.50-0.60")</f>
        <v>0.30-0.40</v>
      </c>
      <c r="R242" s="1" t="str" cm="1">
        <f t="array" ref="R24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243" spans="1:18" x14ac:dyDescent="0.25">
      <c r="A243" s="1">
        <v>861</v>
      </c>
      <c r="B243" s="3">
        <v>40582</v>
      </c>
      <c r="C243" s="1">
        <v>1</v>
      </c>
      <c r="D243" s="1">
        <v>7</v>
      </c>
      <c r="E243" s="1" t="s">
        <v>27</v>
      </c>
      <c r="F243" s="1">
        <v>2</v>
      </c>
      <c r="G243" s="1">
        <v>1</v>
      </c>
      <c r="H243" s="1" t="str">
        <f t="shared" si="3"/>
        <v>Tuesday</v>
      </c>
      <c r="I243" s="1" t="str" cm="1">
        <f t="array" ref="I243">_xlfn.IFS(dataset3[[#This Row],[Weather sit]]=1,"1 Clear",dataset3[[#This Row],[Weather sit]]=2,"2 Misty/Cloudy",dataset3[[#This Row],[Weather sit]]=3,"3 Light Snow/Rain",dataset3[[#This Row],[Weather sit]]=4,"4 Heavy Snow/Rain")</f>
        <v>1 Clear</v>
      </c>
      <c r="J243" s="7">
        <v>0.24</v>
      </c>
      <c r="K243" s="7">
        <v>0.19700000000000001</v>
      </c>
      <c r="L243" s="7">
        <v>0.65</v>
      </c>
      <c r="M243" s="7">
        <v>0.41789999999999999</v>
      </c>
      <c r="N243" s="1">
        <v>3</v>
      </c>
      <c r="O243" s="1">
        <v>97</v>
      </c>
      <c r="P243" s="1">
        <v>100</v>
      </c>
      <c r="Q243" s="1" t="str" cm="1">
        <f t="array" ref="Q243">_xlfn.IFS(dataset3[[#This Row],[Windspeed]]&lt;=0.1,"0.00 -0.10",dataset3[[#This Row],[Windspeed]]&lt;=0.2,"0.10-0.20",dataset3[[#This Row],[Windspeed]]&lt;=0.3,"0.20-0.30",dataset3[[#This Row],[Windspeed]]&lt;=0.4,"0.30-0.40",dataset3[[#This Row],[Windspeed]]&lt;=0.5,"0.40-0.50",dataset3[[#This Row],[Windspeed]]&lt;=0.6,"0.50-0.60")</f>
        <v>0.40-0.50</v>
      </c>
      <c r="R243" s="1" t="str" cm="1">
        <f t="array" ref="R24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244" spans="1:18" x14ac:dyDescent="0.25">
      <c r="A244" s="1">
        <v>862</v>
      </c>
      <c r="B244" s="3">
        <v>40582</v>
      </c>
      <c r="C244" s="1">
        <v>1</v>
      </c>
      <c r="D244" s="1">
        <v>8</v>
      </c>
      <c r="E244" s="1" t="s">
        <v>27</v>
      </c>
      <c r="F244" s="1">
        <v>2</v>
      </c>
      <c r="G244" s="1">
        <v>1</v>
      </c>
      <c r="H244" s="1" t="str">
        <f t="shared" si="3"/>
        <v>Tuesday</v>
      </c>
      <c r="I244" s="1" t="str" cm="1">
        <f t="array" ref="I244">_xlfn.IFS(dataset3[[#This Row],[Weather sit]]=1,"1 Clear",dataset3[[#This Row],[Weather sit]]=2,"2 Misty/Cloudy",dataset3[[#This Row],[Weather sit]]=3,"3 Light Snow/Rain",dataset3[[#This Row],[Weather sit]]=4,"4 Heavy Snow/Rain")</f>
        <v>1 Clear</v>
      </c>
      <c r="J244" s="7">
        <v>0.24</v>
      </c>
      <c r="K244" s="7">
        <v>0.19700000000000001</v>
      </c>
      <c r="L244" s="7">
        <v>0.56000000000000005</v>
      </c>
      <c r="M244" s="7">
        <v>0.49249999999999999</v>
      </c>
      <c r="N244" s="1">
        <v>7</v>
      </c>
      <c r="O244" s="1">
        <v>236</v>
      </c>
      <c r="P244" s="1">
        <v>243</v>
      </c>
      <c r="Q244" s="1" t="str" cm="1">
        <f t="array" ref="Q244">_xlfn.IFS(dataset3[[#This Row],[Windspeed]]&lt;=0.1,"0.00 -0.10",dataset3[[#This Row],[Windspeed]]&lt;=0.2,"0.10-0.20",dataset3[[#This Row],[Windspeed]]&lt;=0.3,"0.20-0.30",dataset3[[#This Row],[Windspeed]]&lt;=0.4,"0.30-0.40",dataset3[[#This Row],[Windspeed]]&lt;=0.5,"0.40-0.50",dataset3[[#This Row],[Windspeed]]&lt;=0.6,"0.50-0.60")</f>
        <v>0.40-0.50</v>
      </c>
      <c r="R244" s="1" t="str" cm="1">
        <f t="array" ref="R24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245" spans="1:18" x14ac:dyDescent="0.25">
      <c r="A245" s="1">
        <v>863</v>
      </c>
      <c r="B245" s="3">
        <v>40582</v>
      </c>
      <c r="C245" s="1">
        <v>1</v>
      </c>
      <c r="D245" s="1">
        <v>9</v>
      </c>
      <c r="E245" s="1" t="s">
        <v>27</v>
      </c>
      <c r="F245" s="1">
        <v>2</v>
      </c>
      <c r="G245" s="1">
        <v>1</v>
      </c>
      <c r="H245" s="1" t="str">
        <f t="shared" si="3"/>
        <v>Tuesday</v>
      </c>
      <c r="I245" s="1" t="str" cm="1">
        <f t="array" ref="I245">_xlfn.IFS(dataset3[[#This Row],[Weather sit]]=1,"1 Clear",dataset3[[#This Row],[Weather sit]]=2,"2 Misty/Cloudy",dataset3[[#This Row],[Weather sit]]=3,"3 Light Snow/Rain",dataset3[[#This Row],[Weather sit]]=4,"4 Heavy Snow/Rain")</f>
        <v>1 Clear</v>
      </c>
      <c r="J245" s="7">
        <v>0.24</v>
      </c>
      <c r="K245" s="7">
        <v>0.19700000000000001</v>
      </c>
      <c r="L245" s="7">
        <v>0.52</v>
      </c>
      <c r="M245" s="7">
        <v>0.49249999999999999</v>
      </c>
      <c r="N245" s="1">
        <v>7</v>
      </c>
      <c r="O245" s="1">
        <v>128</v>
      </c>
      <c r="P245" s="1">
        <v>135</v>
      </c>
      <c r="Q245" s="1" t="str" cm="1">
        <f t="array" ref="Q245">_xlfn.IFS(dataset3[[#This Row],[Windspeed]]&lt;=0.1,"0.00 -0.10",dataset3[[#This Row],[Windspeed]]&lt;=0.2,"0.10-0.20",dataset3[[#This Row],[Windspeed]]&lt;=0.3,"0.20-0.30",dataset3[[#This Row],[Windspeed]]&lt;=0.4,"0.30-0.40",dataset3[[#This Row],[Windspeed]]&lt;=0.5,"0.40-0.50",dataset3[[#This Row],[Windspeed]]&lt;=0.6,"0.50-0.60")</f>
        <v>0.40-0.50</v>
      </c>
      <c r="R245" s="1" t="str" cm="1">
        <f t="array" ref="R24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246" spans="1:18" x14ac:dyDescent="0.25">
      <c r="A246" s="1">
        <v>864</v>
      </c>
      <c r="B246" s="3">
        <v>40582</v>
      </c>
      <c r="C246" s="1">
        <v>1</v>
      </c>
      <c r="D246" s="1">
        <v>10</v>
      </c>
      <c r="E246" s="1" t="s">
        <v>27</v>
      </c>
      <c r="F246" s="1">
        <v>2</v>
      </c>
      <c r="G246" s="1">
        <v>1</v>
      </c>
      <c r="H246" s="1" t="str">
        <f t="shared" si="3"/>
        <v>Tuesday</v>
      </c>
      <c r="I246" s="1" t="str" cm="1">
        <f t="array" ref="I246">_xlfn.IFS(dataset3[[#This Row],[Weather sit]]=1,"1 Clear",dataset3[[#This Row],[Weather sit]]=2,"2 Misty/Cloudy",dataset3[[#This Row],[Weather sit]]=3,"3 Light Snow/Rain",dataset3[[#This Row],[Weather sit]]=4,"4 Heavy Snow/Rain")</f>
        <v>1 Clear</v>
      </c>
      <c r="J246" s="7">
        <v>0.22</v>
      </c>
      <c r="K246" s="7">
        <v>0.18179999999999999</v>
      </c>
      <c r="L246" s="7">
        <v>0.47</v>
      </c>
      <c r="M246" s="7">
        <v>0.55220000000000002</v>
      </c>
      <c r="N246" s="1">
        <v>4</v>
      </c>
      <c r="O246" s="1">
        <v>44</v>
      </c>
      <c r="P246" s="1">
        <v>48</v>
      </c>
      <c r="Q246" s="1" t="str" cm="1">
        <f t="array" ref="Q246">_xlfn.IFS(dataset3[[#This Row],[Windspeed]]&lt;=0.1,"0.00 -0.10",dataset3[[#This Row],[Windspeed]]&lt;=0.2,"0.10-0.20",dataset3[[#This Row],[Windspeed]]&lt;=0.3,"0.20-0.30",dataset3[[#This Row],[Windspeed]]&lt;=0.4,"0.30-0.40",dataset3[[#This Row],[Windspeed]]&lt;=0.5,"0.40-0.50",dataset3[[#This Row],[Windspeed]]&lt;=0.6,"0.50-0.60")</f>
        <v>0.50-0.60</v>
      </c>
      <c r="R246" s="1" t="str" cm="1">
        <f t="array" ref="R24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47" spans="1:18" x14ac:dyDescent="0.25">
      <c r="A247" s="1">
        <v>865</v>
      </c>
      <c r="B247" s="3">
        <v>40582</v>
      </c>
      <c r="C247" s="1">
        <v>1</v>
      </c>
      <c r="D247" s="1">
        <v>11</v>
      </c>
      <c r="E247" s="1" t="s">
        <v>27</v>
      </c>
      <c r="F247" s="1">
        <v>2</v>
      </c>
      <c r="G247" s="1">
        <v>1</v>
      </c>
      <c r="H247" s="1" t="str">
        <f t="shared" si="3"/>
        <v>Tuesday</v>
      </c>
      <c r="I247" s="1" t="str" cm="1">
        <f t="array" ref="I247">_xlfn.IFS(dataset3[[#This Row],[Weather sit]]=1,"1 Clear",dataset3[[#This Row],[Weather sit]]=2,"2 Misty/Cloudy",dataset3[[#This Row],[Weather sit]]=3,"3 Light Snow/Rain",dataset3[[#This Row],[Weather sit]]=4,"4 Heavy Snow/Rain")</f>
        <v>1 Clear</v>
      </c>
      <c r="J247" s="7">
        <v>0.22</v>
      </c>
      <c r="K247" s="7">
        <v>0.18179999999999999</v>
      </c>
      <c r="L247" s="7">
        <v>0.47</v>
      </c>
      <c r="M247" s="7">
        <v>0.4627</v>
      </c>
      <c r="N247" s="1">
        <v>1</v>
      </c>
      <c r="O247" s="1">
        <v>49</v>
      </c>
      <c r="P247" s="1">
        <v>50</v>
      </c>
      <c r="Q247" s="1" t="str" cm="1">
        <f t="array" ref="Q247">_xlfn.IFS(dataset3[[#This Row],[Windspeed]]&lt;=0.1,"0.00 -0.10",dataset3[[#This Row],[Windspeed]]&lt;=0.2,"0.10-0.20",dataset3[[#This Row],[Windspeed]]&lt;=0.3,"0.20-0.30",dataset3[[#This Row],[Windspeed]]&lt;=0.4,"0.30-0.40",dataset3[[#This Row],[Windspeed]]&lt;=0.5,"0.40-0.50",dataset3[[#This Row],[Windspeed]]&lt;=0.6,"0.50-0.60")</f>
        <v>0.40-0.50</v>
      </c>
      <c r="R247" s="1" t="str" cm="1">
        <f t="array" ref="R24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48" spans="1:18" x14ac:dyDescent="0.25">
      <c r="A248" s="1">
        <v>866</v>
      </c>
      <c r="B248" s="3">
        <v>40582</v>
      </c>
      <c r="C248" s="1">
        <v>1</v>
      </c>
      <c r="D248" s="1">
        <v>12</v>
      </c>
      <c r="E248" s="1" t="s">
        <v>27</v>
      </c>
      <c r="F248" s="1">
        <v>2</v>
      </c>
      <c r="G248" s="1">
        <v>1</v>
      </c>
      <c r="H248" s="1" t="str">
        <f t="shared" si="3"/>
        <v>Tuesday</v>
      </c>
      <c r="I248" s="1" t="str" cm="1">
        <f t="array" ref="I248">_xlfn.IFS(dataset3[[#This Row],[Weather sit]]=1,"1 Clear",dataset3[[#This Row],[Weather sit]]=2,"2 Misty/Cloudy",dataset3[[#This Row],[Weather sit]]=3,"3 Light Snow/Rain",dataset3[[#This Row],[Weather sit]]=4,"4 Heavy Snow/Rain")</f>
        <v>1 Clear</v>
      </c>
      <c r="J248" s="7">
        <v>0.24</v>
      </c>
      <c r="K248" s="7">
        <v>0.19700000000000001</v>
      </c>
      <c r="L248" s="7">
        <v>0.38</v>
      </c>
      <c r="M248" s="7">
        <v>0.49249999999999999</v>
      </c>
      <c r="N248" s="1">
        <v>2</v>
      </c>
      <c r="O248" s="1">
        <v>63</v>
      </c>
      <c r="P248" s="1">
        <v>65</v>
      </c>
      <c r="Q248" s="1" t="str" cm="1">
        <f t="array" ref="Q248">_xlfn.IFS(dataset3[[#This Row],[Windspeed]]&lt;=0.1,"0.00 -0.10",dataset3[[#This Row],[Windspeed]]&lt;=0.2,"0.10-0.20",dataset3[[#This Row],[Windspeed]]&lt;=0.3,"0.20-0.30",dataset3[[#This Row],[Windspeed]]&lt;=0.4,"0.30-0.40",dataset3[[#This Row],[Windspeed]]&lt;=0.5,"0.40-0.50",dataset3[[#This Row],[Windspeed]]&lt;=0.6,"0.50-0.60")</f>
        <v>0.40-0.50</v>
      </c>
      <c r="R248" s="1" t="str" cm="1">
        <f t="array" ref="R24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49" spans="1:18" x14ac:dyDescent="0.25">
      <c r="A249" s="1">
        <v>867</v>
      </c>
      <c r="B249" s="3">
        <v>40582</v>
      </c>
      <c r="C249" s="1">
        <v>1</v>
      </c>
      <c r="D249" s="1">
        <v>13</v>
      </c>
      <c r="E249" s="1" t="s">
        <v>27</v>
      </c>
      <c r="F249" s="1">
        <v>2</v>
      </c>
      <c r="G249" s="1">
        <v>2</v>
      </c>
      <c r="H249" s="1" t="str">
        <f t="shared" si="3"/>
        <v>Tuesday</v>
      </c>
      <c r="I249" s="1" t="str" cm="1">
        <f t="array" ref="I249">_xlfn.IFS(dataset3[[#This Row],[Weather sit]]=1,"1 Clear",dataset3[[#This Row],[Weather sit]]=2,"2 Misty/Cloudy",dataset3[[#This Row],[Weather sit]]=3,"3 Light Snow/Rain",dataset3[[#This Row],[Weather sit]]=4,"4 Heavy Snow/Rain")</f>
        <v>2 Misty/Cloudy</v>
      </c>
      <c r="J249" s="7">
        <v>0.24</v>
      </c>
      <c r="K249" s="7">
        <v>0.19700000000000001</v>
      </c>
      <c r="L249" s="7">
        <v>0.32</v>
      </c>
      <c r="M249" s="7">
        <v>0.44779999999999998</v>
      </c>
      <c r="N249" s="1">
        <v>2</v>
      </c>
      <c r="O249" s="1">
        <v>48</v>
      </c>
      <c r="P249" s="1">
        <v>50</v>
      </c>
      <c r="Q249" s="1" t="str" cm="1">
        <f t="array" ref="Q249">_xlfn.IFS(dataset3[[#This Row],[Windspeed]]&lt;=0.1,"0.00 -0.10",dataset3[[#This Row],[Windspeed]]&lt;=0.2,"0.10-0.20",dataset3[[#This Row],[Windspeed]]&lt;=0.3,"0.20-0.30",dataset3[[#This Row],[Windspeed]]&lt;=0.4,"0.30-0.40",dataset3[[#This Row],[Windspeed]]&lt;=0.5,"0.40-0.50",dataset3[[#This Row],[Windspeed]]&lt;=0.6,"0.50-0.60")</f>
        <v>0.40-0.50</v>
      </c>
      <c r="R249" s="1" t="str" cm="1">
        <f t="array" ref="R24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50" spans="1:18" x14ac:dyDescent="0.25">
      <c r="A250" s="1">
        <v>868</v>
      </c>
      <c r="B250" s="3">
        <v>40582</v>
      </c>
      <c r="C250" s="1">
        <v>1</v>
      </c>
      <c r="D250" s="1">
        <v>14</v>
      </c>
      <c r="E250" s="1" t="s">
        <v>27</v>
      </c>
      <c r="F250" s="1">
        <v>2</v>
      </c>
      <c r="G250" s="1">
        <v>1</v>
      </c>
      <c r="H250" s="1" t="str">
        <f t="shared" si="3"/>
        <v>Tuesday</v>
      </c>
      <c r="I250" s="1" t="str" cm="1">
        <f t="array" ref="I250">_xlfn.IFS(dataset3[[#This Row],[Weather sit]]=1,"1 Clear",dataset3[[#This Row],[Weather sit]]=2,"2 Misty/Cloudy",dataset3[[#This Row],[Weather sit]]=3,"3 Light Snow/Rain",dataset3[[#This Row],[Weather sit]]=4,"4 Heavy Snow/Rain")</f>
        <v>1 Clear</v>
      </c>
      <c r="J250" s="7">
        <v>0.22</v>
      </c>
      <c r="K250" s="7">
        <v>0.19700000000000001</v>
      </c>
      <c r="L250" s="7">
        <v>0.37</v>
      </c>
      <c r="M250" s="7">
        <v>0.41789999999999999</v>
      </c>
      <c r="N250" s="1">
        <v>3</v>
      </c>
      <c r="O250" s="1">
        <v>61</v>
      </c>
      <c r="P250" s="1">
        <v>64</v>
      </c>
      <c r="Q250" s="1" t="str" cm="1">
        <f t="array" ref="Q250">_xlfn.IFS(dataset3[[#This Row],[Windspeed]]&lt;=0.1,"0.00 -0.10",dataset3[[#This Row],[Windspeed]]&lt;=0.2,"0.10-0.20",dataset3[[#This Row],[Windspeed]]&lt;=0.3,"0.20-0.30",dataset3[[#This Row],[Windspeed]]&lt;=0.4,"0.30-0.40",dataset3[[#This Row],[Windspeed]]&lt;=0.5,"0.40-0.50",dataset3[[#This Row],[Windspeed]]&lt;=0.6,"0.50-0.60")</f>
        <v>0.40-0.50</v>
      </c>
      <c r="R250" s="1" t="str" cm="1">
        <f t="array" ref="R25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51" spans="1:18" x14ac:dyDescent="0.25">
      <c r="A251" s="1">
        <v>869</v>
      </c>
      <c r="B251" s="3">
        <v>40582</v>
      </c>
      <c r="C251" s="1">
        <v>1</v>
      </c>
      <c r="D251" s="1">
        <v>15</v>
      </c>
      <c r="E251" s="1" t="s">
        <v>27</v>
      </c>
      <c r="F251" s="1">
        <v>2</v>
      </c>
      <c r="G251" s="1">
        <v>1</v>
      </c>
      <c r="H251" s="1" t="str">
        <f t="shared" si="3"/>
        <v>Tuesday</v>
      </c>
      <c r="I251" s="1" t="str" cm="1">
        <f t="array" ref="I251">_xlfn.IFS(dataset3[[#This Row],[Weather sit]]=1,"1 Clear",dataset3[[#This Row],[Weather sit]]=2,"2 Misty/Cloudy",dataset3[[#This Row],[Weather sit]]=3,"3 Light Snow/Rain",dataset3[[#This Row],[Weather sit]]=4,"4 Heavy Snow/Rain")</f>
        <v>1 Clear</v>
      </c>
      <c r="J251" s="7">
        <v>0.22</v>
      </c>
      <c r="K251" s="7">
        <v>0.19700000000000001</v>
      </c>
      <c r="L251" s="7">
        <v>0.35</v>
      </c>
      <c r="M251" s="7">
        <v>0.3881</v>
      </c>
      <c r="N251" s="1">
        <v>6</v>
      </c>
      <c r="O251" s="1">
        <v>45</v>
      </c>
      <c r="P251" s="1">
        <v>51</v>
      </c>
      <c r="Q251" s="1" t="str" cm="1">
        <f t="array" ref="Q251">_xlfn.IFS(dataset3[[#This Row],[Windspeed]]&lt;=0.1,"0.00 -0.10",dataset3[[#This Row],[Windspeed]]&lt;=0.2,"0.10-0.20",dataset3[[#This Row],[Windspeed]]&lt;=0.3,"0.20-0.30",dataset3[[#This Row],[Windspeed]]&lt;=0.4,"0.30-0.40",dataset3[[#This Row],[Windspeed]]&lt;=0.5,"0.40-0.50",dataset3[[#This Row],[Windspeed]]&lt;=0.6,"0.50-0.60")</f>
        <v>0.30-0.40</v>
      </c>
      <c r="R251" s="1" t="str" cm="1">
        <f t="array" ref="R25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52" spans="1:18" x14ac:dyDescent="0.25">
      <c r="A252" s="1">
        <v>870</v>
      </c>
      <c r="B252" s="3">
        <v>40582</v>
      </c>
      <c r="C252" s="1">
        <v>1</v>
      </c>
      <c r="D252" s="1">
        <v>16</v>
      </c>
      <c r="E252" s="1" t="s">
        <v>27</v>
      </c>
      <c r="F252" s="1">
        <v>2</v>
      </c>
      <c r="G252" s="1">
        <v>1</v>
      </c>
      <c r="H252" s="1" t="str">
        <f t="shared" si="3"/>
        <v>Tuesday</v>
      </c>
      <c r="I252" s="1" t="str" cm="1">
        <f t="array" ref="I252">_xlfn.IFS(dataset3[[#This Row],[Weather sit]]=1,"1 Clear",dataset3[[#This Row],[Weather sit]]=2,"2 Misty/Cloudy",dataset3[[#This Row],[Weather sit]]=3,"3 Light Snow/Rain",dataset3[[#This Row],[Weather sit]]=4,"4 Heavy Snow/Rain")</f>
        <v>1 Clear</v>
      </c>
      <c r="J252" s="7">
        <v>0.22</v>
      </c>
      <c r="K252" s="7">
        <v>0.18179999999999999</v>
      </c>
      <c r="L252" s="7">
        <v>0.35</v>
      </c>
      <c r="M252" s="7">
        <v>0.52239999999999998</v>
      </c>
      <c r="N252" s="1">
        <v>4</v>
      </c>
      <c r="O252" s="1">
        <v>79</v>
      </c>
      <c r="P252" s="1">
        <v>83</v>
      </c>
      <c r="Q252" s="1" t="str" cm="1">
        <f t="array" ref="Q252">_xlfn.IFS(dataset3[[#This Row],[Windspeed]]&lt;=0.1,"0.00 -0.10",dataset3[[#This Row],[Windspeed]]&lt;=0.2,"0.10-0.20",dataset3[[#This Row],[Windspeed]]&lt;=0.3,"0.20-0.30",dataset3[[#This Row],[Windspeed]]&lt;=0.4,"0.30-0.40",dataset3[[#This Row],[Windspeed]]&lt;=0.5,"0.40-0.50",dataset3[[#This Row],[Windspeed]]&lt;=0.6,"0.50-0.60")</f>
        <v>0.50-0.60</v>
      </c>
      <c r="R252" s="1" t="str" cm="1">
        <f t="array" ref="R25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53" spans="1:18" x14ac:dyDescent="0.25">
      <c r="A253" s="1">
        <v>871</v>
      </c>
      <c r="B253" s="3">
        <v>40582</v>
      </c>
      <c r="C253" s="1">
        <v>1</v>
      </c>
      <c r="D253" s="1">
        <v>17</v>
      </c>
      <c r="E253" s="1" t="s">
        <v>27</v>
      </c>
      <c r="F253" s="1">
        <v>2</v>
      </c>
      <c r="G253" s="1">
        <v>1</v>
      </c>
      <c r="H253" s="1" t="str">
        <f t="shared" si="3"/>
        <v>Tuesday</v>
      </c>
      <c r="I253" s="1" t="str" cm="1">
        <f t="array" ref="I253">_xlfn.IFS(dataset3[[#This Row],[Weather sit]]=1,"1 Clear",dataset3[[#This Row],[Weather sit]]=2,"2 Misty/Cloudy",dataset3[[#This Row],[Weather sit]]=3,"3 Light Snow/Rain",dataset3[[#This Row],[Weather sit]]=4,"4 Heavy Snow/Rain")</f>
        <v>1 Clear</v>
      </c>
      <c r="J253" s="7">
        <v>0.22</v>
      </c>
      <c r="K253" s="7">
        <v>0.18179999999999999</v>
      </c>
      <c r="L253" s="7">
        <v>0.32</v>
      </c>
      <c r="M253" s="7">
        <v>0.58209999999999995</v>
      </c>
      <c r="N253" s="1">
        <v>4</v>
      </c>
      <c r="O253" s="1">
        <v>172</v>
      </c>
      <c r="P253" s="1">
        <v>176</v>
      </c>
      <c r="Q253" s="1" t="str" cm="1">
        <f t="array" ref="Q253">_xlfn.IFS(dataset3[[#This Row],[Windspeed]]&lt;=0.1,"0.00 -0.10",dataset3[[#This Row],[Windspeed]]&lt;=0.2,"0.10-0.20",dataset3[[#This Row],[Windspeed]]&lt;=0.3,"0.20-0.30",dataset3[[#This Row],[Windspeed]]&lt;=0.4,"0.30-0.40",dataset3[[#This Row],[Windspeed]]&lt;=0.5,"0.40-0.50",dataset3[[#This Row],[Windspeed]]&lt;=0.6,"0.50-0.60")</f>
        <v>0.50-0.60</v>
      </c>
      <c r="R253" s="1" t="str" cm="1">
        <f t="array" ref="R25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54" spans="1:18" x14ac:dyDescent="0.25">
      <c r="A254" s="1">
        <v>872</v>
      </c>
      <c r="B254" s="3">
        <v>40582</v>
      </c>
      <c r="C254" s="1">
        <v>1</v>
      </c>
      <c r="D254" s="1">
        <v>18</v>
      </c>
      <c r="E254" s="1" t="s">
        <v>27</v>
      </c>
      <c r="F254" s="1">
        <v>2</v>
      </c>
      <c r="G254" s="1">
        <v>1</v>
      </c>
      <c r="H254" s="1" t="str">
        <f t="shared" si="3"/>
        <v>Tuesday</v>
      </c>
      <c r="I254" s="1" t="str" cm="1">
        <f t="array" ref="I254">_xlfn.IFS(dataset3[[#This Row],[Weather sit]]=1,"1 Clear",dataset3[[#This Row],[Weather sit]]=2,"2 Misty/Cloudy",dataset3[[#This Row],[Weather sit]]=3,"3 Light Snow/Rain",dataset3[[#This Row],[Weather sit]]=4,"4 Heavy Snow/Rain")</f>
        <v>1 Clear</v>
      </c>
      <c r="J254" s="7">
        <v>0.2</v>
      </c>
      <c r="K254" s="7">
        <v>0.18179999999999999</v>
      </c>
      <c r="L254" s="7">
        <v>0.32</v>
      </c>
      <c r="M254" s="7">
        <v>0.3881</v>
      </c>
      <c r="N254" s="1">
        <v>1</v>
      </c>
      <c r="O254" s="1">
        <v>151</v>
      </c>
      <c r="P254" s="1">
        <v>152</v>
      </c>
      <c r="Q254" s="1" t="str" cm="1">
        <f t="array" ref="Q254">_xlfn.IFS(dataset3[[#This Row],[Windspeed]]&lt;=0.1,"0.00 -0.10",dataset3[[#This Row],[Windspeed]]&lt;=0.2,"0.10-0.20",dataset3[[#This Row],[Windspeed]]&lt;=0.3,"0.20-0.30",dataset3[[#This Row],[Windspeed]]&lt;=0.4,"0.30-0.40",dataset3[[#This Row],[Windspeed]]&lt;=0.5,"0.40-0.50",dataset3[[#This Row],[Windspeed]]&lt;=0.6,"0.50-0.60")</f>
        <v>0.30-0.40</v>
      </c>
      <c r="R254" s="1" t="str" cm="1">
        <f t="array" ref="R25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55" spans="1:18" x14ac:dyDescent="0.25">
      <c r="A255" s="1">
        <v>873</v>
      </c>
      <c r="B255" s="3">
        <v>40582</v>
      </c>
      <c r="C255" s="1">
        <v>1</v>
      </c>
      <c r="D255" s="1">
        <v>19</v>
      </c>
      <c r="E255" s="1" t="s">
        <v>27</v>
      </c>
      <c r="F255" s="1">
        <v>2</v>
      </c>
      <c r="G255" s="1">
        <v>1</v>
      </c>
      <c r="H255" s="1" t="str">
        <f t="shared" si="3"/>
        <v>Tuesday</v>
      </c>
      <c r="I255" s="1" t="str" cm="1">
        <f t="array" ref="I255">_xlfn.IFS(dataset3[[#This Row],[Weather sit]]=1,"1 Clear",dataset3[[#This Row],[Weather sit]]=2,"2 Misty/Cloudy",dataset3[[#This Row],[Weather sit]]=3,"3 Light Snow/Rain",dataset3[[#This Row],[Weather sit]]=4,"4 Heavy Snow/Rain")</f>
        <v>1 Clear</v>
      </c>
      <c r="J255" s="7">
        <v>0.16</v>
      </c>
      <c r="K255" s="7">
        <v>0.1212</v>
      </c>
      <c r="L255" s="7">
        <v>0.4</v>
      </c>
      <c r="M255" s="7">
        <v>0.4627</v>
      </c>
      <c r="N255" s="1">
        <v>1</v>
      </c>
      <c r="O255" s="1">
        <v>100</v>
      </c>
      <c r="P255" s="1">
        <v>101</v>
      </c>
      <c r="Q255" s="1" t="str" cm="1">
        <f t="array" ref="Q255">_xlfn.IFS(dataset3[[#This Row],[Windspeed]]&lt;=0.1,"0.00 -0.10",dataset3[[#This Row],[Windspeed]]&lt;=0.2,"0.10-0.20",dataset3[[#This Row],[Windspeed]]&lt;=0.3,"0.20-0.30",dataset3[[#This Row],[Windspeed]]&lt;=0.4,"0.30-0.40",dataset3[[#This Row],[Windspeed]]&lt;=0.5,"0.40-0.50",dataset3[[#This Row],[Windspeed]]&lt;=0.6,"0.50-0.60")</f>
        <v>0.40-0.50</v>
      </c>
      <c r="R255" s="1" t="str" cm="1">
        <f t="array" ref="R25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56" spans="1:18" x14ac:dyDescent="0.25">
      <c r="A256" s="1">
        <v>874</v>
      </c>
      <c r="B256" s="3">
        <v>40582</v>
      </c>
      <c r="C256" s="1">
        <v>1</v>
      </c>
      <c r="D256" s="1">
        <v>20</v>
      </c>
      <c r="E256" s="1" t="s">
        <v>27</v>
      </c>
      <c r="F256" s="1">
        <v>2</v>
      </c>
      <c r="G256" s="1">
        <v>1</v>
      </c>
      <c r="H256" s="1" t="str">
        <f t="shared" si="3"/>
        <v>Tuesday</v>
      </c>
      <c r="I256" s="1" t="str" cm="1">
        <f t="array" ref="I256">_xlfn.IFS(dataset3[[#This Row],[Weather sit]]=1,"1 Clear",dataset3[[#This Row],[Weather sit]]=2,"2 Misty/Cloudy",dataset3[[#This Row],[Weather sit]]=3,"3 Light Snow/Rain",dataset3[[#This Row],[Weather sit]]=4,"4 Heavy Snow/Rain")</f>
        <v>1 Clear</v>
      </c>
      <c r="J256" s="7">
        <v>0.16</v>
      </c>
      <c r="K256" s="7">
        <v>0.13639999999999999</v>
      </c>
      <c r="L256" s="7">
        <v>0.4</v>
      </c>
      <c r="M256" s="7">
        <v>0.32840000000000003</v>
      </c>
      <c r="N256" s="1">
        <v>3</v>
      </c>
      <c r="O256" s="1">
        <v>53</v>
      </c>
      <c r="P256" s="1">
        <v>56</v>
      </c>
      <c r="Q256" s="1" t="str" cm="1">
        <f t="array" ref="Q256">_xlfn.IFS(dataset3[[#This Row],[Windspeed]]&lt;=0.1,"0.00 -0.10",dataset3[[#This Row],[Windspeed]]&lt;=0.2,"0.10-0.20",dataset3[[#This Row],[Windspeed]]&lt;=0.3,"0.20-0.30",dataset3[[#This Row],[Windspeed]]&lt;=0.4,"0.30-0.40",dataset3[[#This Row],[Windspeed]]&lt;=0.5,"0.40-0.50",dataset3[[#This Row],[Windspeed]]&lt;=0.6,"0.50-0.60")</f>
        <v>0.30-0.40</v>
      </c>
      <c r="R256" s="1" t="str" cm="1">
        <f t="array" ref="R25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57" spans="1:18" x14ac:dyDescent="0.25">
      <c r="A257" s="1">
        <v>875</v>
      </c>
      <c r="B257" s="3">
        <v>40582</v>
      </c>
      <c r="C257" s="1">
        <v>1</v>
      </c>
      <c r="D257" s="1">
        <v>21</v>
      </c>
      <c r="E257" s="1" t="s">
        <v>27</v>
      </c>
      <c r="F257" s="1">
        <v>2</v>
      </c>
      <c r="G257" s="1">
        <v>1</v>
      </c>
      <c r="H257" s="1" t="str">
        <f t="shared" si="3"/>
        <v>Tuesday</v>
      </c>
      <c r="I257" s="1" t="str" cm="1">
        <f t="array" ref="I257">_xlfn.IFS(dataset3[[#This Row],[Weather sit]]=1,"1 Clear",dataset3[[#This Row],[Weather sit]]=2,"2 Misty/Cloudy",dataset3[[#This Row],[Weather sit]]=3,"3 Light Snow/Rain",dataset3[[#This Row],[Weather sit]]=4,"4 Heavy Snow/Rain")</f>
        <v>1 Clear</v>
      </c>
      <c r="J257" s="7">
        <v>0.14000000000000001</v>
      </c>
      <c r="K257" s="7">
        <v>0.1061</v>
      </c>
      <c r="L257" s="7">
        <v>0.33</v>
      </c>
      <c r="M257" s="7">
        <v>0.4627</v>
      </c>
      <c r="N257" s="1">
        <v>8</v>
      </c>
      <c r="O257" s="1">
        <v>46</v>
      </c>
      <c r="P257" s="1">
        <v>54</v>
      </c>
      <c r="Q257" s="1" t="str" cm="1">
        <f t="array" ref="Q257">_xlfn.IFS(dataset3[[#This Row],[Windspeed]]&lt;=0.1,"0.00 -0.10",dataset3[[#This Row],[Windspeed]]&lt;=0.2,"0.10-0.20",dataset3[[#This Row],[Windspeed]]&lt;=0.3,"0.20-0.30",dataset3[[#This Row],[Windspeed]]&lt;=0.4,"0.30-0.40",dataset3[[#This Row],[Windspeed]]&lt;=0.5,"0.40-0.50",dataset3[[#This Row],[Windspeed]]&lt;=0.6,"0.50-0.60")</f>
        <v>0.40-0.50</v>
      </c>
      <c r="R257" s="1" t="str" cm="1">
        <f t="array" ref="R25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58" spans="1:18" x14ac:dyDescent="0.25">
      <c r="A258" s="1">
        <v>876</v>
      </c>
      <c r="B258" s="3">
        <v>40582</v>
      </c>
      <c r="C258" s="1">
        <v>1</v>
      </c>
      <c r="D258" s="1">
        <v>22</v>
      </c>
      <c r="E258" s="1" t="s">
        <v>27</v>
      </c>
      <c r="F258" s="1">
        <v>2</v>
      </c>
      <c r="G258" s="1">
        <v>1</v>
      </c>
      <c r="H258" s="1" t="str">
        <f t="shared" ref="H258:H321" si="4">TEXT(B258,"dddd")</f>
        <v>Tuesday</v>
      </c>
      <c r="I258" s="1" t="str" cm="1">
        <f t="array" ref="I258">_xlfn.IFS(dataset3[[#This Row],[Weather sit]]=1,"1 Clear",dataset3[[#This Row],[Weather sit]]=2,"2 Misty/Cloudy",dataset3[[#This Row],[Weather sit]]=3,"3 Light Snow/Rain",dataset3[[#This Row],[Weather sit]]=4,"4 Heavy Snow/Rain")</f>
        <v>1 Clear</v>
      </c>
      <c r="J258" s="7">
        <v>0.12</v>
      </c>
      <c r="K258" s="7">
        <v>0.1061</v>
      </c>
      <c r="L258" s="7">
        <v>0.33</v>
      </c>
      <c r="M258" s="7">
        <v>0.35820000000000002</v>
      </c>
      <c r="N258" s="1">
        <v>0</v>
      </c>
      <c r="O258" s="1">
        <v>29</v>
      </c>
      <c r="P258" s="1">
        <v>29</v>
      </c>
      <c r="Q258" s="1" t="str" cm="1">
        <f t="array" ref="Q258">_xlfn.IFS(dataset3[[#This Row],[Windspeed]]&lt;=0.1,"0.00 -0.10",dataset3[[#This Row],[Windspeed]]&lt;=0.2,"0.10-0.20",dataset3[[#This Row],[Windspeed]]&lt;=0.3,"0.20-0.30",dataset3[[#This Row],[Windspeed]]&lt;=0.4,"0.30-0.40",dataset3[[#This Row],[Windspeed]]&lt;=0.5,"0.40-0.50",dataset3[[#This Row],[Windspeed]]&lt;=0.6,"0.50-0.60")</f>
        <v>0.30-0.40</v>
      </c>
      <c r="R258" s="1" t="str" cm="1">
        <f t="array" ref="R25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59" spans="1:18" x14ac:dyDescent="0.25">
      <c r="A259" s="1">
        <v>877</v>
      </c>
      <c r="B259" s="3">
        <v>40582</v>
      </c>
      <c r="C259" s="1">
        <v>1</v>
      </c>
      <c r="D259" s="1">
        <v>23</v>
      </c>
      <c r="E259" s="1" t="s">
        <v>27</v>
      </c>
      <c r="F259" s="1">
        <v>2</v>
      </c>
      <c r="G259" s="1">
        <v>1</v>
      </c>
      <c r="H259" s="1" t="str">
        <f t="shared" si="4"/>
        <v>Tuesday</v>
      </c>
      <c r="I259" s="1" t="str" cm="1">
        <f t="array" ref="I259">_xlfn.IFS(dataset3[[#This Row],[Weather sit]]=1,"1 Clear",dataset3[[#This Row],[Weather sit]]=2,"2 Misty/Cloudy",dataset3[[#This Row],[Weather sit]]=3,"3 Light Snow/Rain",dataset3[[#This Row],[Weather sit]]=4,"4 Heavy Snow/Rain")</f>
        <v>1 Clear</v>
      </c>
      <c r="J259" s="7">
        <v>0.12</v>
      </c>
      <c r="K259" s="7">
        <v>0.1061</v>
      </c>
      <c r="L259" s="7">
        <v>0.33</v>
      </c>
      <c r="M259" s="7">
        <v>0.32840000000000003</v>
      </c>
      <c r="N259" s="1">
        <v>3</v>
      </c>
      <c r="O259" s="1">
        <v>9</v>
      </c>
      <c r="P259" s="1">
        <v>12</v>
      </c>
      <c r="Q259" s="1" t="str" cm="1">
        <f t="array" ref="Q259">_xlfn.IFS(dataset3[[#This Row],[Windspeed]]&lt;=0.1,"0.00 -0.10",dataset3[[#This Row],[Windspeed]]&lt;=0.2,"0.10-0.20",dataset3[[#This Row],[Windspeed]]&lt;=0.3,"0.20-0.30",dataset3[[#This Row],[Windspeed]]&lt;=0.4,"0.30-0.40",dataset3[[#This Row],[Windspeed]]&lt;=0.5,"0.40-0.50",dataset3[[#This Row],[Windspeed]]&lt;=0.6,"0.50-0.60")</f>
        <v>0.30-0.40</v>
      </c>
      <c r="R259" s="1" t="str" cm="1">
        <f t="array" ref="R25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60" spans="1:18" x14ac:dyDescent="0.25">
      <c r="A260" s="1">
        <v>878</v>
      </c>
      <c r="B260" s="3">
        <v>40583</v>
      </c>
      <c r="C260" s="1">
        <v>1</v>
      </c>
      <c r="D260" s="1">
        <v>0</v>
      </c>
      <c r="E260" s="1" t="s">
        <v>27</v>
      </c>
      <c r="F260" s="1">
        <v>3</v>
      </c>
      <c r="G260" s="1">
        <v>1</v>
      </c>
      <c r="H260" s="1" t="str">
        <f t="shared" si="4"/>
        <v>Wednesday</v>
      </c>
      <c r="I260" s="1" t="str" cm="1">
        <f t="array" ref="I260">_xlfn.IFS(dataset3[[#This Row],[Weather sit]]=1,"1 Clear",dataset3[[#This Row],[Weather sit]]=2,"2 Misty/Cloudy",dataset3[[#This Row],[Weather sit]]=3,"3 Light Snow/Rain",dataset3[[#This Row],[Weather sit]]=4,"4 Heavy Snow/Rain")</f>
        <v>1 Clear</v>
      </c>
      <c r="J260" s="7">
        <v>0.1</v>
      </c>
      <c r="K260" s="7">
        <v>7.5800000000000006E-2</v>
      </c>
      <c r="L260" s="7">
        <v>0.36</v>
      </c>
      <c r="M260" s="7">
        <v>0.35820000000000002</v>
      </c>
      <c r="N260" s="1">
        <v>0</v>
      </c>
      <c r="O260" s="1">
        <v>17</v>
      </c>
      <c r="P260" s="1">
        <v>17</v>
      </c>
      <c r="Q260" s="1" t="str" cm="1">
        <f t="array" ref="Q260">_xlfn.IFS(dataset3[[#This Row],[Windspeed]]&lt;=0.1,"0.00 -0.10",dataset3[[#This Row],[Windspeed]]&lt;=0.2,"0.10-0.20",dataset3[[#This Row],[Windspeed]]&lt;=0.3,"0.20-0.30",dataset3[[#This Row],[Windspeed]]&lt;=0.4,"0.30-0.40",dataset3[[#This Row],[Windspeed]]&lt;=0.5,"0.40-0.50",dataset3[[#This Row],[Windspeed]]&lt;=0.6,"0.50-0.60")</f>
        <v>0.30-0.40</v>
      </c>
      <c r="R260" s="1" t="str" cm="1">
        <f t="array" ref="R26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61" spans="1:18" x14ac:dyDescent="0.25">
      <c r="A261" s="1">
        <v>879</v>
      </c>
      <c r="B261" s="3">
        <v>40583</v>
      </c>
      <c r="C261" s="1">
        <v>1</v>
      </c>
      <c r="D261" s="1">
        <v>1</v>
      </c>
      <c r="E261" s="1" t="s">
        <v>27</v>
      </c>
      <c r="F261" s="1">
        <v>3</v>
      </c>
      <c r="G261" s="1">
        <v>1</v>
      </c>
      <c r="H261" s="1" t="str">
        <f t="shared" si="4"/>
        <v>Wednesday</v>
      </c>
      <c r="I261" s="1" t="str" cm="1">
        <f t="array" ref="I261">_xlfn.IFS(dataset3[[#This Row],[Weather sit]]=1,"1 Clear",dataset3[[#This Row],[Weather sit]]=2,"2 Misty/Cloudy",dataset3[[#This Row],[Weather sit]]=3,"3 Light Snow/Rain",dataset3[[#This Row],[Weather sit]]=4,"4 Heavy Snow/Rain")</f>
        <v>1 Clear</v>
      </c>
      <c r="J261" s="7">
        <v>0.1</v>
      </c>
      <c r="K261" s="7">
        <v>0.1061</v>
      </c>
      <c r="L261" s="7">
        <v>0.36</v>
      </c>
      <c r="M261" s="7">
        <v>0.22389999999999999</v>
      </c>
      <c r="N261" s="1">
        <v>0</v>
      </c>
      <c r="O261" s="1">
        <v>7</v>
      </c>
      <c r="P261" s="1">
        <v>7</v>
      </c>
      <c r="Q261" s="1" t="str" cm="1">
        <f t="array" ref="Q261">_xlfn.IFS(dataset3[[#This Row],[Windspeed]]&lt;=0.1,"0.00 -0.10",dataset3[[#This Row],[Windspeed]]&lt;=0.2,"0.10-0.20",dataset3[[#This Row],[Windspeed]]&lt;=0.3,"0.20-0.30",dataset3[[#This Row],[Windspeed]]&lt;=0.4,"0.30-0.40",dataset3[[#This Row],[Windspeed]]&lt;=0.5,"0.40-0.50",dataset3[[#This Row],[Windspeed]]&lt;=0.6,"0.50-0.60")</f>
        <v>0.20-0.30</v>
      </c>
      <c r="R261" s="1" t="str" cm="1">
        <f t="array" ref="R26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62" spans="1:18" x14ac:dyDescent="0.25">
      <c r="A262" s="1">
        <v>880</v>
      </c>
      <c r="B262" s="3">
        <v>40583</v>
      </c>
      <c r="C262" s="1">
        <v>1</v>
      </c>
      <c r="D262" s="1">
        <v>2</v>
      </c>
      <c r="E262" s="1" t="s">
        <v>27</v>
      </c>
      <c r="F262" s="1">
        <v>3</v>
      </c>
      <c r="G262" s="1">
        <v>1</v>
      </c>
      <c r="H262" s="1" t="str">
        <f t="shared" si="4"/>
        <v>Wednesday</v>
      </c>
      <c r="I262" s="1" t="str" cm="1">
        <f t="array" ref="I262">_xlfn.IFS(dataset3[[#This Row],[Weather sit]]=1,"1 Clear",dataset3[[#This Row],[Weather sit]]=2,"2 Misty/Cloudy",dataset3[[#This Row],[Weather sit]]=3,"3 Light Snow/Rain",dataset3[[#This Row],[Weather sit]]=4,"4 Heavy Snow/Rain")</f>
        <v>1 Clear</v>
      </c>
      <c r="J262" s="7">
        <v>0.08</v>
      </c>
      <c r="K262" s="7">
        <v>7.5800000000000006E-2</v>
      </c>
      <c r="L262" s="7">
        <v>0.38</v>
      </c>
      <c r="M262" s="7">
        <v>0.28360000000000002</v>
      </c>
      <c r="N262" s="1">
        <v>1</v>
      </c>
      <c r="O262" s="1">
        <v>2</v>
      </c>
      <c r="P262" s="1">
        <v>3</v>
      </c>
      <c r="Q262" s="1" t="str" cm="1">
        <f t="array" ref="Q262">_xlfn.IFS(dataset3[[#This Row],[Windspeed]]&lt;=0.1,"0.00 -0.10",dataset3[[#This Row],[Windspeed]]&lt;=0.2,"0.10-0.20",dataset3[[#This Row],[Windspeed]]&lt;=0.3,"0.20-0.30",dataset3[[#This Row],[Windspeed]]&lt;=0.4,"0.30-0.40",dataset3[[#This Row],[Windspeed]]&lt;=0.5,"0.40-0.50",dataset3[[#This Row],[Windspeed]]&lt;=0.6,"0.50-0.60")</f>
        <v>0.20-0.30</v>
      </c>
      <c r="R262" s="1" t="str" cm="1">
        <f t="array" ref="R26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63" spans="1:18" x14ac:dyDescent="0.25">
      <c r="A263" s="1">
        <v>881</v>
      </c>
      <c r="B263" s="3">
        <v>40583</v>
      </c>
      <c r="C263" s="1">
        <v>1</v>
      </c>
      <c r="D263" s="1">
        <v>3</v>
      </c>
      <c r="E263" s="1" t="s">
        <v>27</v>
      </c>
      <c r="F263" s="1">
        <v>3</v>
      </c>
      <c r="G263" s="1">
        <v>1</v>
      </c>
      <c r="H263" s="1" t="str">
        <f t="shared" si="4"/>
        <v>Wednesday</v>
      </c>
      <c r="I263" s="1" t="str" cm="1">
        <f t="array" ref="I263">_xlfn.IFS(dataset3[[#This Row],[Weather sit]]=1,"1 Clear",dataset3[[#This Row],[Weather sit]]=2,"2 Misty/Cloudy",dataset3[[#This Row],[Weather sit]]=3,"3 Light Snow/Rain",dataset3[[#This Row],[Weather sit]]=4,"4 Heavy Snow/Rain")</f>
        <v>1 Clear</v>
      </c>
      <c r="J263" s="7">
        <v>0.06</v>
      </c>
      <c r="K263" s="7">
        <v>7.5800000000000006E-2</v>
      </c>
      <c r="L263" s="7">
        <v>0.45</v>
      </c>
      <c r="M263" s="7">
        <v>0.1343</v>
      </c>
      <c r="N263" s="1">
        <v>0</v>
      </c>
      <c r="O263" s="1">
        <v>2</v>
      </c>
      <c r="P263" s="1">
        <v>2</v>
      </c>
      <c r="Q263" s="1" t="str" cm="1">
        <f t="array" ref="Q263">_xlfn.IFS(dataset3[[#This Row],[Windspeed]]&lt;=0.1,"0.00 -0.10",dataset3[[#This Row],[Windspeed]]&lt;=0.2,"0.10-0.20",dataset3[[#This Row],[Windspeed]]&lt;=0.3,"0.20-0.30",dataset3[[#This Row],[Windspeed]]&lt;=0.4,"0.30-0.40",dataset3[[#This Row],[Windspeed]]&lt;=0.5,"0.40-0.50",dataset3[[#This Row],[Windspeed]]&lt;=0.6,"0.50-0.60")</f>
        <v>0.10-0.20</v>
      </c>
      <c r="R263" s="1" t="str" cm="1">
        <f t="array" ref="R26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64" spans="1:18" x14ac:dyDescent="0.25">
      <c r="A264" s="1">
        <v>882</v>
      </c>
      <c r="B264" s="3">
        <v>40583</v>
      </c>
      <c r="C264" s="1">
        <v>1</v>
      </c>
      <c r="D264" s="1">
        <v>5</v>
      </c>
      <c r="E264" s="1" t="s">
        <v>27</v>
      </c>
      <c r="F264" s="1">
        <v>3</v>
      </c>
      <c r="G264" s="1">
        <v>1</v>
      </c>
      <c r="H264" s="1" t="str">
        <f t="shared" si="4"/>
        <v>Wednesday</v>
      </c>
      <c r="I264" s="1" t="str" cm="1">
        <f t="array" ref="I264">_xlfn.IFS(dataset3[[#This Row],[Weather sit]]=1,"1 Clear",dataset3[[#This Row],[Weather sit]]=2,"2 Misty/Cloudy",dataset3[[#This Row],[Weather sit]]=3,"3 Light Snow/Rain",dataset3[[#This Row],[Weather sit]]=4,"4 Heavy Snow/Rain")</f>
        <v>1 Clear</v>
      </c>
      <c r="J264" s="7">
        <v>0.06</v>
      </c>
      <c r="K264" s="7">
        <v>0.1061</v>
      </c>
      <c r="L264" s="7">
        <v>0.45</v>
      </c>
      <c r="M264" s="7">
        <v>0.1045</v>
      </c>
      <c r="N264" s="1">
        <v>0</v>
      </c>
      <c r="O264" s="1">
        <v>7</v>
      </c>
      <c r="P264" s="1">
        <v>7</v>
      </c>
      <c r="Q264" s="1" t="str" cm="1">
        <f t="array" ref="Q264">_xlfn.IFS(dataset3[[#This Row],[Windspeed]]&lt;=0.1,"0.00 -0.10",dataset3[[#This Row],[Windspeed]]&lt;=0.2,"0.10-0.20",dataset3[[#This Row],[Windspeed]]&lt;=0.3,"0.20-0.30",dataset3[[#This Row],[Windspeed]]&lt;=0.4,"0.30-0.40",dataset3[[#This Row],[Windspeed]]&lt;=0.5,"0.40-0.50",dataset3[[#This Row],[Windspeed]]&lt;=0.6,"0.50-0.60")</f>
        <v>0.10-0.20</v>
      </c>
      <c r="R264" s="1" t="str" cm="1">
        <f t="array" ref="R26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65" spans="1:18" x14ac:dyDescent="0.25">
      <c r="A265" s="1">
        <v>883</v>
      </c>
      <c r="B265" s="3">
        <v>40583</v>
      </c>
      <c r="C265" s="1">
        <v>1</v>
      </c>
      <c r="D265" s="1">
        <v>6</v>
      </c>
      <c r="E265" s="1" t="s">
        <v>27</v>
      </c>
      <c r="F265" s="1">
        <v>3</v>
      </c>
      <c r="G265" s="1">
        <v>1</v>
      </c>
      <c r="H265" s="1" t="str">
        <f t="shared" si="4"/>
        <v>Wednesday</v>
      </c>
      <c r="I265" s="1" t="str" cm="1">
        <f t="array" ref="I265">_xlfn.IFS(dataset3[[#This Row],[Weather sit]]=1,"1 Clear",dataset3[[#This Row],[Weather sit]]=2,"2 Misty/Cloudy",dataset3[[#This Row],[Weather sit]]=3,"3 Light Snow/Rain",dataset3[[#This Row],[Weather sit]]=4,"4 Heavy Snow/Rain")</f>
        <v>1 Clear</v>
      </c>
      <c r="J265" s="7">
        <v>0.06</v>
      </c>
      <c r="K265" s="7">
        <v>0.1515</v>
      </c>
      <c r="L265" s="7">
        <v>0.45</v>
      </c>
      <c r="M265" s="7">
        <v>0</v>
      </c>
      <c r="N265" s="1">
        <v>0</v>
      </c>
      <c r="O265" s="1">
        <v>43</v>
      </c>
      <c r="P265" s="1">
        <v>43</v>
      </c>
      <c r="Q265" s="1" t="str" cm="1">
        <f t="array" ref="Q265">_xlfn.IFS(dataset3[[#This Row],[Windspeed]]&lt;=0.1,"0.00 -0.10",dataset3[[#This Row],[Windspeed]]&lt;=0.2,"0.10-0.20",dataset3[[#This Row],[Windspeed]]&lt;=0.3,"0.20-0.30",dataset3[[#This Row],[Windspeed]]&lt;=0.4,"0.30-0.40",dataset3[[#This Row],[Windspeed]]&lt;=0.5,"0.40-0.50",dataset3[[#This Row],[Windspeed]]&lt;=0.6,"0.50-0.60")</f>
        <v>0.00 -0.10</v>
      </c>
      <c r="R265" s="1" t="str" cm="1">
        <f t="array" ref="R26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66" spans="1:18" x14ac:dyDescent="0.25">
      <c r="A266" s="1">
        <v>884</v>
      </c>
      <c r="B266" s="3">
        <v>40583</v>
      </c>
      <c r="C266" s="1">
        <v>1</v>
      </c>
      <c r="D266" s="1">
        <v>7</v>
      </c>
      <c r="E266" s="1" t="s">
        <v>27</v>
      </c>
      <c r="F266" s="1">
        <v>3</v>
      </c>
      <c r="G266" s="1">
        <v>1</v>
      </c>
      <c r="H266" s="1" t="str">
        <f t="shared" si="4"/>
        <v>Wednesday</v>
      </c>
      <c r="I266" s="1" t="str" cm="1">
        <f t="array" ref="I266">_xlfn.IFS(dataset3[[#This Row],[Weather sit]]=1,"1 Clear",dataset3[[#This Row],[Weather sit]]=2,"2 Misty/Cloudy",dataset3[[#This Row],[Weather sit]]=3,"3 Light Snow/Rain",dataset3[[#This Row],[Weather sit]]=4,"4 Heavy Snow/Rain")</f>
        <v>1 Clear</v>
      </c>
      <c r="J266" s="7">
        <v>0.06</v>
      </c>
      <c r="K266" s="7">
        <v>0.1061</v>
      </c>
      <c r="L266" s="7">
        <v>0.49</v>
      </c>
      <c r="M266" s="7">
        <v>0.1045</v>
      </c>
      <c r="N266" s="1">
        <v>4</v>
      </c>
      <c r="O266" s="1">
        <v>95</v>
      </c>
      <c r="P266" s="1">
        <v>99</v>
      </c>
      <c r="Q266" s="1" t="str" cm="1">
        <f t="array" ref="Q266">_xlfn.IFS(dataset3[[#This Row],[Windspeed]]&lt;=0.1,"0.00 -0.10",dataset3[[#This Row],[Windspeed]]&lt;=0.2,"0.10-0.20",dataset3[[#This Row],[Windspeed]]&lt;=0.3,"0.20-0.30",dataset3[[#This Row],[Windspeed]]&lt;=0.4,"0.30-0.40",dataset3[[#This Row],[Windspeed]]&lt;=0.5,"0.40-0.50",dataset3[[#This Row],[Windspeed]]&lt;=0.6,"0.50-0.60")</f>
        <v>0.10-0.20</v>
      </c>
      <c r="R266" s="1" t="str" cm="1">
        <f t="array" ref="R26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67" spans="1:18" x14ac:dyDescent="0.25">
      <c r="A267" s="1">
        <v>885</v>
      </c>
      <c r="B267" s="3">
        <v>40583</v>
      </c>
      <c r="C267" s="1">
        <v>1</v>
      </c>
      <c r="D267" s="1">
        <v>8</v>
      </c>
      <c r="E267" s="1" t="s">
        <v>27</v>
      </c>
      <c r="F267" s="1">
        <v>3</v>
      </c>
      <c r="G267" s="1">
        <v>1</v>
      </c>
      <c r="H267" s="1" t="str">
        <f t="shared" si="4"/>
        <v>Wednesday</v>
      </c>
      <c r="I267" s="1" t="str" cm="1">
        <f t="array" ref="I267">_xlfn.IFS(dataset3[[#This Row],[Weather sit]]=1,"1 Clear",dataset3[[#This Row],[Weather sit]]=2,"2 Misty/Cloudy",dataset3[[#This Row],[Weather sit]]=3,"3 Light Snow/Rain",dataset3[[#This Row],[Weather sit]]=4,"4 Heavy Snow/Rain")</f>
        <v>1 Clear</v>
      </c>
      <c r="J267" s="7">
        <v>0.1</v>
      </c>
      <c r="K267" s="7">
        <v>0.13639999999999999</v>
      </c>
      <c r="L267" s="7">
        <v>0.42</v>
      </c>
      <c r="M267" s="7">
        <v>0</v>
      </c>
      <c r="N267" s="1">
        <v>1</v>
      </c>
      <c r="O267" s="1">
        <v>198</v>
      </c>
      <c r="P267" s="1">
        <v>199</v>
      </c>
      <c r="Q267" s="1" t="str" cm="1">
        <f t="array" ref="Q267">_xlfn.IFS(dataset3[[#This Row],[Windspeed]]&lt;=0.1,"0.00 -0.10",dataset3[[#This Row],[Windspeed]]&lt;=0.2,"0.10-0.20",dataset3[[#This Row],[Windspeed]]&lt;=0.3,"0.20-0.30",dataset3[[#This Row],[Windspeed]]&lt;=0.4,"0.30-0.40",dataset3[[#This Row],[Windspeed]]&lt;=0.5,"0.40-0.50",dataset3[[#This Row],[Windspeed]]&lt;=0.6,"0.50-0.60")</f>
        <v>0.00 -0.10</v>
      </c>
      <c r="R267" s="1" t="str" cm="1">
        <f t="array" ref="R26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68" spans="1:18" x14ac:dyDescent="0.25">
      <c r="A268" s="1">
        <v>886</v>
      </c>
      <c r="B268" s="3">
        <v>40583</v>
      </c>
      <c r="C268" s="1">
        <v>1</v>
      </c>
      <c r="D268" s="1">
        <v>9</v>
      </c>
      <c r="E268" s="1" t="s">
        <v>27</v>
      </c>
      <c r="F268" s="1">
        <v>3</v>
      </c>
      <c r="G268" s="1">
        <v>1</v>
      </c>
      <c r="H268" s="1" t="str">
        <f t="shared" si="4"/>
        <v>Wednesday</v>
      </c>
      <c r="I268" s="1" t="str" cm="1">
        <f t="array" ref="I268">_xlfn.IFS(dataset3[[#This Row],[Weather sit]]=1,"1 Clear",dataset3[[#This Row],[Weather sit]]=2,"2 Misty/Cloudy",dataset3[[#This Row],[Weather sit]]=3,"3 Light Snow/Rain",dataset3[[#This Row],[Weather sit]]=4,"4 Heavy Snow/Rain")</f>
        <v>1 Clear</v>
      </c>
      <c r="J268" s="7">
        <v>0.12</v>
      </c>
      <c r="K268" s="7">
        <v>0.13639999999999999</v>
      </c>
      <c r="L268" s="7">
        <v>0.39</v>
      </c>
      <c r="M268" s="7">
        <v>0.16420000000000001</v>
      </c>
      <c r="N268" s="1">
        <v>4</v>
      </c>
      <c r="O268" s="1">
        <v>119</v>
      </c>
      <c r="P268" s="1">
        <v>123</v>
      </c>
      <c r="Q268" s="1" t="str" cm="1">
        <f t="array" ref="Q268">_xlfn.IFS(dataset3[[#This Row],[Windspeed]]&lt;=0.1,"0.00 -0.10",dataset3[[#This Row],[Windspeed]]&lt;=0.2,"0.10-0.20",dataset3[[#This Row],[Windspeed]]&lt;=0.3,"0.20-0.30",dataset3[[#This Row],[Windspeed]]&lt;=0.4,"0.30-0.40",dataset3[[#This Row],[Windspeed]]&lt;=0.5,"0.40-0.50",dataset3[[#This Row],[Windspeed]]&lt;=0.6,"0.50-0.60")</f>
        <v>0.10-0.20</v>
      </c>
      <c r="R268" s="1" t="str" cm="1">
        <f t="array" ref="R26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69" spans="1:18" x14ac:dyDescent="0.25">
      <c r="A269" s="1">
        <v>887</v>
      </c>
      <c r="B269" s="3">
        <v>40583</v>
      </c>
      <c r="C269" s="1">
        <v>1</v>
      </c>
      <c r="D269" s="1">
        <v>10</v>
      </c>
      <c r="E269" s="1" t="s">
        <v>27</v>
      </c>
      <c r="F269" s="1">
        <v>3</v>
      </c>
      <c r="G269" s="1">
        <v>1</v>
      </c>
      <c r="H269" s="1" t="str">
        <f t="shared" si="4"/>
        <v>Wednesday</v>
      </c>
      <c r="I269" s="1" t="str" cm="1">
        <f t="array" ref="I269">_xlfn.IFS(dataset3[[#This Row],[Weather sit]]=1,"1 Clear",dataset3[[#This Row],[Weather sit]]=2,"2 Misty/Cloudy",dataset3[[#This Row],[Weather sit]]=3,"3 Light Snow/Rain",dataset3[[#This Row],[Weather sit]]=4,"4 Heavy Snow/Rain")</f>
        <v>1 Clear</v>
      </c>
      <c r="J269" s="7">
        <v>0.14000000000000001</v>
      </c>
      <c r="K269" s="7">
        <v>0.18179999999999999</v>
      </c>
      <c r="L269" s="7">
        <v>0.36</v>
      </c>
      <c r="M269" s="7">
        <v>0</v>
      </c>
      <c r="N269" s="1">
        <v>8</v>
      </c>
      <c r="O269" s="1">
        <v>51</v>
      </c>
      <c r="P269" s="1">
        <v>59</v>
      </c>
      <c r="Q269" s="1" t="str" cm="1">
        <f t="array" ref="Q269">_xlfn.IFS(dataset3[[#This Row],[Windspeed]]&lt;=0.1,"0.00 -0.10",dataset3[[#This Row],[Windspeed]]&lt;=0.2,"0.10-0.20",dataset3[[#This Row],[Windspeed]]&lt;=0.3,"0.20-0.30",dataset3[[#This Row],[Windspeed]]&lt;=0.4,"0.30-0.40",dataset3[[#This Row],[Windspeed]]&lt;=0.5,"0.40-0.50",dataset3[[#This Row],[Windspeed]]&lt;=0.6,"0.50-0.60")</f>
        <v>0.00 -0.10</v>
      </c>
      <c r="R269" s="1" t="str" cm="1">
        <f t="array" ref="R26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70" spans="1:18" x14ac:dyDescent="0.25">
      <c r="A270" s="1">
        <v>888</v>
      </c>
      <c r="B270" s="3">
        <v>40583</v>
      </c>
      <c r="C270" s="1">
        <v>1</v>
      </c>
      <c r="D270" s="1">
        <v>11</v>
      </c>
      <c r="E270" s="1" t="s">
        <v>27</v>
      </c>
      <c r="F270" s="1">
        <v>3</v>
      </c>
      <c r="G270" s="1">
        <v>2</v>
      </c>
      <c r="H270" s="1" t="str">
        <f t="shared" si="4"/>
        <v>Wednesday</v>
      </c>
      <c r="I270" s="1" t="str" cm="1">
        <f t="array" ref="I270">_xlfn.IFS(dataset3[[#This Row],[Weather sit]]=1,"1 Clear",dataset3[[#This Row],[Weather sit]]=2,"2 Misty/Cloudy",dataset3[[#This Row],[Weather sit]]=3,"3 Light Snow/Rain",dataset3[[#This Row],[Weather sit]]=4,"4 Heavy Snow/Rain")</f>
        <v>2 Misty/Cloudy</v>
      </c>
      <c r="J270" s="7">
        <v>0.14000000000000001</v>
      </c>
      <c r="K270" s="7">
        <v>0.1515</v>
      </c>
      <c r="L270" s="7">
        <v>0.43</v>
      </c>
      <c r="M270" s="7">
        <v>0.16420000000000001</v>
      </c>
      <c r="N270" s="1">
        <v>1</v>
      </c>
      <c r="O270" s="1">
        <v>40</v>
      </c>
      <c r="P270" s="1">
        <v>41</v>
      </c>
      <c r="Q270" s="1" t="str" cm="1">
        <f t="array" ref="Q270">_xlfn.IFS(dataset3[[#This Row],[Windspeed]]&lt;=0.1,"0.00 -0.10",dataset3[[#This Row],[Windspeed]]&lt;=0.2,"0.10-0.20",dataset3[[#This Row],[Windspeed]]&lt;=0.3,"0.20-0.30",dataset3[[#This Row],[Windspeed]]&lt;=0.4,"0.30-0.40",dataset3[[#This Row],[Windspeed]]&lt;=0.5,"0.40-0.50",dataset3[[#This Row],[Windspeed]]&lt;=0.6,"0.50-0.60")</f>
        <v>0.10-0.20</v>
      </c>
      <c r="R270" s="1" t="str" cm="1">
        <f t="array" ref="R27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71" spans="1:18" x14ac:dyDescent="0.25">
      <c r="A271" s="1">
        <v>889</v>
      </c>
      <c r="B271" s="3">
        <v>40583</v>
      </c>
      <c r="C271" s="1">
        <v>1</v>
      </c>
      <c r="D271" s="1">
        <v>12</v>
      </c>
      <c r="E271" s="1" t="s">
        <v>27</v>
      </c>
      <c r="F271" s="1">
        <v>3</v>
      </c>
      <c r="G271" s="1">
        <v>2</v>
      </c>
      <c r="H271" s="1" t="str">
        <f t="shared" si="4"/>
        <v>Wednesday</v>
      </c>
      <c r="I271" s="1" t="str" cm="1">
        <f t="array" ref="I271">_xlfn.IFS(dataset3[[#This Row],[Weather sit]]=1,"1 Clear",dataset3[[#This Row],[Weather sit]]=2,"2 Misty/Cloudy",dataset3[[#This Row],[Weather sit]]=3,"3 Light Snow/Rain",dataset3[[#This Row],[Weather sit]]=4,"4 Heavy Snow/Rain")</f>
        <v>2 Misty/Cloudy</v>
      </c>
      <c r="J271" s="7">
        <v>0.18</v>
      </c>
      <c r="K271" s="7">
        <v>0.18179999999999999</v>
      </c>
      <c r="L271" s="7">
        <v>0.4</v>
      </c>
      <c r="M271" s="7">
        <v>0.22389999999999999</v>
      </c>
      <c r="N271" s="1">
        <v>4</v>
      </c>
      <c r="O271" s="1">
        <v>57</v>
      </c>
      <c r="P271" s="1">
        <v>61</v>
      </c>
      <c r="Q271" s="1" t="str" cm="1">
        <f t="array" ref="Q271">_xlfn.IFS(dataset3[[#This Row],[Windspeed]]&lt;=0.1,"0.00 -0.10",dataset3[[#This Row],[Windspeed]]&lt;=0.2,"0.10-0.20",dataset3[[#This Row],[Windspeed]]&lt;=0.3,"0.20-0.30",dataset3[[#This Row],[Windspeed]]&lt;=0.4,"0.30-0.40",dataset3[[#This Row],[Windspeed]]&lt;=0.5,"0.40-0.50",dataset3[[#This Row],[Windspeed]]&lt;=0.6,"0.50-0.60")</f>
        <v>0.20-0.30</v>
      </c>
      <c r="R271" s="1" t="str" cm="1">
        <f t="array" ref="R27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72" spans="1:18" x14ac:dyDescent="0.25">
      <c r="A272" s="1">
        <v>890</v>
      </c>
      <c r="B272" s="3">
        <v>40583</v>
      </c>
      <c r="C272" s="1">
        <v>1</v>
      </c>
      <c r="D272" s="1">
        <v>13</v>
      </c>
      <c r="E272" s="1" t="s">
        <v>27</v>
      </c>
      <c r="F272" s="1">
        <v>3</v>
      </c>
      <c r="G272" s="1">
        <v>1</v>
      </c>
      <c r="H272" s="1" t="str">
        <f t="shared" si="4"/>
        <v>Wednesday</v>
      </c>
      <c r="I272" s="1" t="str" cm="1">
        <f t="array" ref="I272">_xlfn.IFS(dataset3[[#This Row],[Weather sit]]=1,"1 Clear",dataset3[[#This Row],[Weather sit]]=2,"2 Misty/Cloudy",dataset3[[#This Row],[Weather sit]]=3,"3 Light Snow/Rain",dataset3[[#This Row],[Weather sit]]=4,"4 Heavy Snow/Rain")</f>
        <v>1 Clear</v>
      </c>
      <c r="J272" s="7">
        <v>0.18</v>
      </c>
      <c r="K272" s="7">
        <v>0.16669999999999999</v>
      </c>
      <c r="L272" s="7">
        <v>0.4</v>
      </c>
      <c r="M272" s="7">
        <v>0.25369999999999998</v>
      </c>
      <c r="N272" s="1">
        <v>2</v>
      </c>
      <c r="O272" s="1">
        <v>67</v>
      </c>
      <c r="P272" s="1">
        <v>69</v>
      </c>
      <c r="Q272" s="1" t="str" cm="1">
        <f t="array" ref="Q272">_xlfn.IFS(dataset3[[#This Row],[Windspeed]]&lt;=0.1,"0.00 -0.10",dataset3[[#This Row],[Windspeed]]&lt;=0.2,"0.10-0.20",dataset3[[#This Row],[Windspeed]]&lt;=0.3,"0.20-0.30",dataset3[[#This Row],[Windspeed]]&lt;=0.4,"0.30-0.40",dataset3[[#This Row],[Windspeed]]&lt;=0.5,"0.40-0.50",dataset3[[#This Row],[Windspeed]]&lt;=0.6,"0.50-0.60")</f>
        <v>0.20-0.30</v>
      </c>
      <c r="R272" s="1" t="str" cm="1">
        <f t="array" ref="R27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73" spans="1:18" x14ac:dyDescent="0.25">
      <c r="A273" s="1">
        <v>891</v>
      </c>
      <c r="B273" s="3">
        <v>40583</v>
      </c>
      <c r="C273" s="1">
        <v>1</v>
      </c>
      <c r="D273" s="1">
        <v>14</v>
      </c>
      <c r="E273" s="1" t="s">
        <v>27</v>
      </c>
      <c r="F273" s="1">
        <v>3</v>
      </c>
      <c r="G273" s="1">
        <v>1</v>
      </c>
      <c r="H273" s="1" t="str">
        <f t="shared" si="4"/>
        <v>Wednesday</v>
      </c>
      <c r="I273" s="1" t="str" cm="1">
        <f t="array" ref="I273">_xlfn.IFS(dataset3[[#This Row],[Weather sit]]=1,"1 Clear",dataset3[[#This Row],[Weather sit]]=2,"2 Misty/Cloudy",dataset3[[#This Row],[Weather sit]]=3,"3 Light Snow/Rain",dataset3[[#This Row],[Weather sit]]=4,"4 Heavy Snow/Rain")</f>
        <v>1 Clear</v>
      </c>
      <c r="J273" s="7">
        <v>0.2</v>
      </c>
      <c r="K273" s="7">
        <v>0.18179999999999999</v>
      </c>
      <c r="L273" s="7">
        <v>0.34</v>
      </c>
      <c r="M273" s="7">
        <v>0.29849999999999999</v>
      </c>
      <c r="N273" s="1">
        <v>2</v>
      </c>
      <c r="O273" s="1">
        <v>56</v>
      </c>
      <c r="P273" s="1">
        <v>58</v>
      </c>
      <c r="Q273" s="1" t="str" cm="1">
        <f t="array" ref="Q273">_xlfn.IFS(dataset3[[#This Row],[Windspeed]]&lt;=0.1,"0.00 -0.10",dataset3[[#This Row],[Windspeed]]&lt;=0.2,"0.10-0.20",dataset3[[#This Row],[Windspeed]]&lt;=0.3,"0.20-0.30",dataset3[[#This Row],[Windspeed]]&lt;=0.4,"0.30-0.40",dataset3[[#This Row],[Windspeed]]&lt;=0.5,"0.40-0.50",dataset3[[#This Row],[Windspeed]]&lt;=0.6,"0.50-0.60")</f>
        <v>0.20-0.30</v>
      </c>
      <c r="R273" s="1" t="str" cm="1">
        <f t="array" ref="R27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74" spans="1:18" x14ac:dyDescent="0.25">
      <c r="A274" s="1">
        <v>892</v>
      </c>
      <c r="B274" s="3">
        <v>40583</v>
      </c>
      <c r="C274" s="1">
        <v>1</v>
      </c>
      <c r="D274" s="1">
        <v>15</v>
      </c>
      <c r="E274" s="1" t="s">
        <v>27</v>
      </c>
      <c r="F274" s="1">
        <v>3</v>
      </c>
      <c r="G274" s="1">
        <v>2</v>
      </c>
      <c r="H274" s="1" t="str">
        <f t="shared" si="4"/>
        <v>Wednesday</v>
      </c>
      <c r="I274" s="1" t="str" cm="1">
        <f t="array" ref="I274">_xlfn.IFS(dataset3[[#This Row],[Weather sit]]=1,"1 Clear",dataset3[[#This Row],[Weather sit]]=2,"2 Misty/Cloudy",dataset3[[#This Row],[Weather sit]]=3,"3 Light Snow/Rain",dataset3[[#This Row],[Weather sit]]=4,"4 Heavy Snow/Rain")</f>
        <v>2 Misty/Cloudy</v>
      </c>
      <c r="J274" s="7">
        <v>0.2</v>
      </c>
      <c r="K274" s="7">
        <v>0.18179999999999999</v>
      </c>
      <c r="L274" s="7">
        <v>0.34</v>
      </c>
      <c r="M274" s="7">
        <v>0.28360000000000002</v>
      </c>
      <c r="N274" s="1">
        <v>3</v>
      </c>
      <c r="O274" s="1">
        <v>61</v>
      </c>
      <c r="P274" s="1">
        <v>64</v>
      </c>
      <c r="Q274" s="1" t="str" cm="1">
        <f t="array" ref="Q274">_xlfn.IFS(dataset3[[#This Row],[Windspeed]]&lt;=0.1,"0.00 -0.10",dataset3[[#This Row],[Windspeed]]&lt;=0.2,"0.10-0.20",dataset3[[#This Row],[Windspeed]]&lt;=0.3,"0.20-0.30",dataset3[[#This Row],[Windspeed]]&lt;=0.4,"0.30-0.40",dataset3[[#This Row],[Windspeed]]&lt;=0.5,"0.40-0.50",dataset3[[#This Row],[Windspeed]]&lt;=0.6,"0.50-0.60")</f>
        <v>0.20-0.30</v>
      </c>
      <c r="R274" s="1" t="str" cm="1">
        <f t="array" ref="R27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75" spans="1:18" x14ac:dyDescent="0.25">
      <c r="A275" s="1">
        <v>893</v>
      </c>
      <c r="B275" s="3">
        <v>40583</v>
      </c>
      <c r="C275" s="1">
        <v>1</v>
      </c>
      <c r="D275" s="1">
        <v>16</v>
      </c>
      <c r="E275" s="1" t="s">
        <v>27</v>
      </c>
      <c r="F275" s="1">
        <v>3</v>
      </c>
      <c r="G275" s="1">
        <v>2</v>
      </c>
      <c r="H275" s="1" t="str">
        <f t="shared" si="4"/>
        <v>Wednesday</v>
      </c>
      <c r="I275" s="1" t="str" cm="1">
        <f t="array" ref="I275">_xlfn.IFS(dataset3[[#This Row],[Weather sit]]=1,"1 Clear",dataset3[[#This Row],[Weather sit]]=2,"2 Misty/Cloudy",dataset3[[#This Row],[Weather sit]]=3,"3 Light Snow/Rain",dataset3[[#This Row],[Weather sit]]=4,"4 Heavy Snow/Rain")</f>
        <v>2 Misty/Cloudy</v>
      </c>
      <c r="J275" s="7">
        <v>0.2</v>
      </c>
      <c r="K275" s="7">
        <v>0.19700000000000001</v>
      </c>
      <c r="L275" s="7">
        <v>0.37</v>
      </c>
      <c r="M275" s="7">
        <v>0.25369999999999998</v>
      </c>
      <c r="N275" s="1">
        <v>7</v>
      </c>
      <c r="O275" s="1">
        <v>72</v>
      </c>
      <c r="P275" s="1">
        <v>79</v>
      </c>
      <c r="Q275" s="1" t="str" cm="1">
        <f t="array" ref="Q275">_xlfn.IFS(dataset3[[#This Row],[Windspeed]]&lt;=0.1,"0.00 -0.10",dataset3[[#This Row],[Windspeed]]&lt;=0.2,"0.10-0.20",dataset3[[#This Row],[Windspeed]]&lt;=0.3,"0.20-0.30",dataset3[[#This Row],[Windspeed]]&lt;=0.4,"0.30-0.40",dataset3[[#This Row],[Windspeed]]&lt;=0.5,"0.40-0.50",dataset3[[#This Row],[Windspeed]]&lt;=0.6,"0.50-0.60")</f>
        <v>0.20-0.30</v>
      </c>
      <c r="R275" s="1" t="str" cm="1">
        <f t="array" ref="R27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76" spans="1:18" x14ac:dyDescent="0.25">
      <c r="A276" s="1">
        <v>894</v>
      </c>
      <c r="B276" s="3">
        <v>40583</v>
      </c>
      <c r="C276" s="1">
        <v>1</v>
      </c>
      <c r="D276" s="1">
        <v>17</v>
      </c>
      <c r="E276" s="1" t="s">
        <v>27</v>
      </c>
      <c r="F276" s="1">
        <v>3</v>
      </c>
      <c r="G276" s="1">
        <v>2</v>
      </c>
      <c r="H276" s="1" t="str">
        <f t="shared" si="4"/>
        <v>Wednesday</v>
      </c>
      <c r="I276" s="1" t="str" cm="1">
        <f t="array" ref="I276">_xlfn.IFS(dataset3[[#This Row],[Weather sit]]=1,"1 Clear",dataset3[[#This Row],[Weather sit]]=2,"2 Misty/Cloudy",dataset3[[#This Row],[Weather sit]]=3,"3 Light Snow/Rain",dataset3[[#This Row],[Weather sit]]=4,"4 Heavy Snow/Rain")</f>
        <v>2 Misty/Cloudy</v>
      </c>
      <c r="J276" s="7">
        <v>0.2</v>
      </c>
      <c r="K276" s="7">
        <v>0.19700000000000001</v>
      </c>
      <c r="L276" s="7">
        <v>0.34</v>
      </c>
      <c r="M276" s="7">
        <v>0.25369999999999998</v>
      </c>
      <c r="N276" s="1">
        <v>9</v>
      </c>
      <c r="O276" s="1">
        <v>157</v>
      </c>
      <c r="P276" s="1">
        <v>166</v>
      </c>
      <c r="Q276" s="1" t="str" cm="1">
        <f t="array" ref="Q276">_xlfn.IFS(dataset3[[#This Row],[Windspeed]]&lt;=0.1,"0.00 -0.10",dataset3[[#This Row],[Windspeed]]&lt;=0.2,"0.10-0.20",dataset3[[#This Row],[Windspeed]]&lt;=0.3,"0.20-0.30",dataset3[[#This Row],[Windspeed]]&lt;=0.4,"0.30-0.40",dataset3[[#This Row],[Windspeed]]&lt;=0.5,"0.40-0.50",dataset3[[#This Row],[Windspeed]]&lt;=0.6,"0.50-0.60")</f>
        <v>0.20-0.30</v>
      </c>
      <c r="R276" s="1" t="str" cm="1">
        <f t="array" ref="R27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77" spans="1:18" x14ac:dyDescent="0.25">
      <c r="A277" s="1">
        <v>895</v>
      </c>
      <c r="B277" s="3">
        <v>40583</v>
      </c>
      <c r="C277" s="1">
        <v>1</v>
      </c>
      <c r="D277" s="1">
        <v>18</v>
      </c>
      <c r="E277" s="1" t="s">
        <v>27</v>
      </c>
      <c r="F277" s="1">
        <v>3</v>
      </c>
      <c r="G277" s="1">
        <v>2</v>
      </c>
      <c r="H277" s="1" t="str">
        <f t="shared" si="4"/>
        <v>Wednesday</v>
      </c>
      <c r="I277" s="1" t="str" cm="1">
        <f t="array" ref="I277">_xlfn.IFS(dataset3[[#This Row],[Weather sit]]=1,"1 Clear",dataset3[[#This Row],[Weather sit]]=2,"2 Misty/Cloudy",dataset3[[#This Row],[Weather sit]]=3,"3 Light Snow/Rain",dataset3[[#This Row],[Weather sit]]=4,"4 Heavy Snow/Rain")</f>
        <v>2 Misty/Cloudy</v>
      </c>
      <c r="J277" s="7">
        <v>0.18</v>
      </c>
      <c r="K277" s="7">
        <v>0.16669999999999999</v>
      </c>
      <c r="L277" s="7">
        <v>0.47</v>
      </c>
      <c r="M277" s="7">
        <v>0.29849999999999999</v>
      </c>
      <c r="N277" s="1">
        <v>2</v>
      </c>
      <c r="O277" s="1">
        <v>168</v>
      </c>
      <c r="P277" s="1">
        <v>170</v>
      </c>
      <c r="Q277" s="1" t="str" cm="1">
        <f t="array" ref="Q277">_xlfn.IFS(dataset3[[#This Row],[Windspeed]]&lt;=0.1,"0.00 -0.10",dataset3[[#This Row],[Windspeed]]&lt;=0.2,"0.10-0.20",dataset3[[#This Row],[Windspeed]]&lt;=0.3,"0.20-0.30",dataset3[[#This Row],[Windspeed]]&lt;=0.4,"0.30-0.40",dataset3[[#This Row],[Windspeed]]&lt;=0.5,"0.40-0.50",dataset3[[#This Row],[Windspeed]]&lt;=0.6,"0.50-0.60")</f>
        <v>0.20-0.30</v>
      </c>
      <c r="R277" s="1" t="str" cm="1">
        <f t="array" ref="R27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78" spans="1:18" x14ac:dyDescent="0.25">
      <c r="A278" s="1">
        <v>896</v>
      </c>
      <c r="B278" s="3">
        <v>40583</v>
      </c>
      <c r="C278" s="1">
        <v>1</v>
      </c>
      <c r="D278" s="1">
        <v>19</v>
      </c>
      <c r="E278" s="1" t="s">
        <v>27</v>
      </c>
      <c r="F278" s="1">
        <v>3</v>
      </c>
      <c r="G278" s="1">
        <v>3</v>
      </c>
      <c r="H278" s="1" t="str">
        <f t="shared" si="4"/>
        <v>Wednesday</v>
      </c>
      <c r="I278" s="1" t="str" cm="1">
        <f t="array" ref="I278">_xlfn.IFS(dataset3[[#This Row],[Weather sit]]=1,"1 Clear",dataset3[[#This Row],[Weather sit]]=2,"2 Misty/Cloudy",dataset3[[#This Row],[Weather sit]]=3,"3 Light Snow/Rain",dataset3[[#This Row],[Weather sit]]=4,"4 Heavy Snow/Rain")</f>
        <v>3 Light Snow/Rain</v>
      </c>
      <c r="J278" s="7">
        <v>0.14000000000000001</v>
      </c>
      <c r="K278" s="7">
        <v>0.1212</v>
      </c>
      <c r="L278" s="7">
        <v>0.86</v>
      </c>
      <c r="M278" s="7">
        <v>0.25369999999999998</v>
      </c>
      <c r="N278" s="1">
        <v>1</v>
      </c>
      <c r="O278" s="1">
        <v>87</v>
      </c>
      <c r="P278" s="1">
        <v>88</v>
      </c>
      <c r="Q278" s="1" t="str" cm="1">
        <f t="array" ref="Q278">_xlfn.IFS(dataset3[[#This Row],[Windspeed]]&lt;=0.1,"0.00 -0.10",dataset3[[#This Row],[Windspeed]]&lt;=0.2,"0.10-0.20",dataset3[[#This Row],[Windspeed]]&lt;=0.3,"0.20-0.30",dataset3[[#This Row],[Windspeed]]&lt;=0.4,"0.30-0.40",dataset3[[#This Row],[Windspeed]]&lt;=0.5,"0.40-0.50",dataset3[[#This Row],[Windspeed]]&lt;=0.6,"0.50-0.60")</f>
        <v>0.20-0.30</v>
      </c>
      <c r="R278" s="1" t="str" cm="1">
        <f t="array" ref="R27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279" spans="1:18" x14ac:dyDescent="0.25">
      <c r="A279" s="1">
        <v>897</v>
      </c>
      <c r="B279" s="3">
        <v>40583</v>
      </c>
      <c r="C279" s="1">
        <v>1</v>
      </c>
      <c r="D279" s="1">
        <v>20</v>
      </c>
      <c r="E279" s="1" t="s">
        <v>27</v>
      </c>
      <c r="F279" s="1">
        <v>3</v>
      </c>
      <c r="G279" s="1">
        <v>3</v>
      </c>
      <c r="H279" s="1" t="str">
        <f t="shared" si="4"/>
        <v>Wednesday</v>
      </c>
      <c r="I279" s="1" t="str" cm="1">
        <f t="array" ref="I279">_xlfn.IFS(dataset3[[#This Row],[Weather sit]]=1,"1 Clear",dataset3[[#This Row],[Weather sit]]=2,"2 Misty/Cloudy",dataset3[[#This Row],[Weather sit]]=3,"3 Light Snow/Rain",dataset3[[#This Row],[Weather sit]]=4,"4 Heavy Snow/Rain")</f>
        <v>3 Light Snow/Rain</v>
      </c>
      <c r="J279" s="7">
        <v>0.14000000000000001</v>
      </c>
      <c r="K279" s="7">
        <v>0.1515</v>
      </c>
      <c r="L279" s="7">
        <v>0.86</v>
      </c>
      <c r="M279" s="7">
        <v>0.16420000000000001</v>
      </c>
      <c r="N279" s="1">
        <v>0</v>
      </c>
      <c r="O279" s="1">
        <v>84</v>
      </c>
      <c r="P279" s="1">
        <v>84</v>
      </c>
      <c r="Q279" s="1" t="str" cm="1">
        <f t="array" ref="Q279">_xlfn.IFS(dataset3[[#This Row],[Windspeed]]&lt;=0.1,"0.00 -0.10",dataset3[[#This Row],[Windspeed]]&lt;=0.2,"0.10-0.20",dataset3[[#This Row],[Windspeed]]&lt;=0.3,"0.20-0.30",dataset3[[#This Row],[Windspeed]]&lt;=0.4,"0.30-0.40",dataset3[[#This Row],[Windspeed]]&lt;=0.5,"0.40-0.50",dataset3[[#This Row],[Windspeed]]&lt;=0.6,"0.50-0.60")</f>
        <v>0.10-0.20</v>
      </c>
      <c r="R279" s="1" t="str" cm="1">
        <f t="array" ref="R27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280" spans="1:18" x14ac:dyDescent="0.25">
      <c r="A280" s="1">
        <v>898</v>
      </c>
      <c r="B280" s="3">
        <v>40583</v>
      </c>
      <c r="C280" s="1">
        <v>1</v>
      </c>
      <c r="D280" s="1">
        <v>21</v>
      </c>
      <c r="E280" s="1" t="s">
        <v>27</v>
      </c>
      <c r="F280" s="1">
        <v>3</v>
      </c>
      <c r="G280" s="1">
        <v>2</v>
      </c>
      <c r="H280" s="1" t="str">
        <f t="shared" si="4"/>
        <v>Wednesday</v>
      </c>
      <c r="I280" s="1" t="str" cm="1">
        <f t="array" ref="I280">_xlfn.IFS(dataset3[[#This Row],[Weather sit]]=1,"1 Clear",dataset3[[#This Row],[Weather sit]]=2,"2 Misty/Cloudy",dataset3[[#This Row],[Weather sit]]=3,"3 Light Snow/Rain",dataset3[[#This Row],[Weather sit]]=4,"4 Heavy Snow/Rain")</f>
        <v>2 Misty/Cloudy</v>
      </c>
      <c r="J280" s="7">
        <v>0.14000000000000001</v>
      </c>
      <c r="K280" s="7">
        <v>0.1515</v>
      </c>
      <c r="L280" s="7">
        <v>0.86</v>
      </c>
      <c r="M280" s="7">
        <v>0.16420000000000001</v>
      </c>
      <c r="N280" s="1">
        <v>0</v>
      </c>
      <c r="O280" s="1">
        <v>83</v>
      </c>
      <c r="P280" s="1">
        <v>83</v>
      </c>
      <c r="Q280" s="1" t="str" cm="1">
        <f t="array" ref="Q280">_xlfn.IFS(dataset3[[#This Row],[Windspeed]]&lt;=0.1,"0.00 -0.10",dataset3[[#This Row],[Windspeed]]&lt;=0.2,"0.10-0.20",dataset3[[#This Row],[Windspeed]]&lt;=0.3,"0.20-0.30",dataset3[[#This Row],[Windspeed]]&lt;=0.4,"0.30-0.40",dataset3[[#This Row],[Windspeed]]&lt;=0.5,"0.40-0.50",dataset3[[#This Row],[Windspeed]]&lt;=0.6,"0.50-0.60")</f>
        <v>0.10-0.20</v>
      </c>
      <c r="R280" s="1" t="str" cm="1">
        <f t="array" ref="R28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281" spans="1:18" x14ac:dyDescent="0.25">
      <c r="A281" s="1">
        <v>899</v>
      </c>
      <c r="B281" s="3">
        <v>40583</v>
      </c>
      <c r="C281" s="1">
        <v>1</v>
      </c>
      <c r="D281" s="1">
        <v>22</v>
      </c>
      <c r="E281" s="1" t="s">
        <v>27</v>
      </c>
      <c r="F281" s="1">
        <v>3</v>
      </c>
      <c r="G281" s="1">
        <v>3</v>
      </c>
      <c r="H281" s="1" t="str">
        <f t="shared" si="4"/>
        <v>Wednesday</v>
      </c>
      <c r="I281" s="1" t="str" cm="1">
        <f t="array" ref="I281">_xlfn.IFS(dataset3[[#This Row],[Weather sit]]=1,"1 Clear",dataset3[[#This Row],[Weather sit]]=2,"2 Misty/Cloudy",dataset3[[#This Row],[Weather sit]]=3,"3 Light Snow/Rain",dataset3[[#This Row],[Weather sit]]=4,"4 Heavy Snow/Rain")</f>
        <v>3 Light Snow/Rain</v>
      </c>
      <c r="J281" s="7">
        <v>0.16</v>
      </c>
      <c r="K281" s="7">
        <v>0.16669999999999999</v>
      </c>
      <c r="L281" s="7">
        <v>0.8</v>
      </c>
      <c r="M281" s="7">
        <v>0.16420000000000001</v>
      </c>
      <c r="N281" s="1">
        <v>4</v>
      </c>
      <c r="O281" s="1">
        <v>42</v>
      </c>
      <c r="P281" s="1">
        <v>46</v>
      </c>
      <c r="Q281" s="1" t="str" cm="1">
        <f t="array" ref="Q281">_xlfn.IFS(dataset3[[#This Row],[Windspeed]]&lt;=0.1,"0.00 -0.10",dataset3[[#This Row],[Windspeed]]&lt;=0.2,"0.10-0.20",dataset3[[#This Row],[Windspeed]]&lt;=0.3,"0.20-0.30",dataset3[[#This Row],[Windspeed]]&lt;=0.4,"0.30-0.40",dataset3[[#This Row],[Windspeed]]&lt;=0.5,"0.40-0.50",dataset3[[#This Row],[Windspeed]]&lt;=0.6,"0.50-0.60")</f>
        <v>0.10-0.20</v>
      </c>
      <c r="R281" s="1" t="str" cm="1">
        <f t="array" ref="R28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82" spans="1:18" x14ac:dyDescent="0.25">
      <c r="A282" s="1">
        <v>900</v>
      </c>
      <c r="B282" s="3">
        <v>40583</v>
      </c>
      <c r="C282" s="1">
        <v>1</v>
      </c>
      <c r="D282" s="1">
        <v>23</v>
      </c>
      <c r="E282" s="1" t="s">
        <v>27</v>
      </c>
      <c r="F282" s="1">
        <v>3</v>
      </c>
      <c r="G282" s="1">
        <v>3</v>
      </c>
      <c r="H282" s="1" t="str">
        <f t="shared" si="4"/>
        <v>Wednesday</v>
      </c>
      <c r="I282" s="1" t="str" cm="1">
        <f t="array" ref="I282">_xlfn.IFS(dataset3[[#This Row],[Weather sit]]=1,"1 Clear",dataset3[[#This Row],[Weather sit]]=2,"2 Misty/Cloudy",dataset3[[#This Row],[Weather sit]]=3,"3 Light Snow/Rain",dataset3[[#This Row],[Weather sit]]=4,"4 Heavy Snow/Rain")</f>
        <v>3 Light Snow/Rain</v>
      </c>
      <c r="J282" s="7">
        <v>0.16</v>
      </c>
      <c r="K282" s="7">
        <v>0.1515</v>
      </c>
      <c r="L282" s="7">
        <v>0.8</v>
      </c>
      <c r="M282" s="7">
        <v>0.19400000000000001</v>
      </c>
      <c r="N282" s="1">
        <v>0</v>
      </c>
      <c r="O282" s="1">
        <v>37</v>
      </c>
      <c r="P282" s="1">
        <v>37</v>
      </c>
      <c r="Q282" s="1" t="str" cm="1">
        <f t="array" ref="Q282">_xlfn.IFS(dataset3[[#This Row],[Windspeed]]&lt;=0.1,"0.00 -0.10",dataset3[[#This Row],[Windspeed]]&lt;=0.2,"0.10-0.20",dataset3[[#This Row],[Windspeed]]&lt;=0.3,"0.20-0.30",dataset3[[#This Row],[Windspeed]]&lt;=0.4,"0.30-0.40",dataset3[[#This Row],[Windspeed]]&lt;=0.5,"0.40-0.50",dataset3[[#This Row],[Windspeed]]&lt;=0.6,"0.50-0.60")</f>
        <v>0.10-0.20</v>
      </c>
      <c r="R282" s="1" t="str" cm="1">
        <f t="array" ref="R28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83" spans="1:18" x14ac:dyDescent="0.25">
      <c r="A283" s="1">
        <v>901</v>
      </c>
      <c r="B283" s="3">
        <v>40584</v>
      </c>
      <c r="C283" s="1">
        <v>1</v>
      </c>
      <c r="D283" s="1">
        <v>0</v>
      </c>
      <c r="E283" s="1" t="s">
        <v>27</v>
      </c>
      <c r="F283" s="1">
        <v>4</v>
      </c>
      <c r="G283" s="1">
        <v>3</v>
      </c>
      <c r="H283" s="1" t="str">
        <f t="shared" si="4"/>
        <v>Thursday</v>
      </c>
      <c r="I283" s="1" t="str" cm="1">
        <f t="array" ref="I283">_xlfn.IFS(dataset3[[#This Row],[Weather sit]]=1,"1 Clear",dataset3[[#This Row],[Weather sit]]=2,"2 Misty/Cloudy",dataset3[[#This Row],[Weather sit]]=3,"3 Light Snow/Rain",dataset3[[#This Row],[Weather sit]]=4,"4 Heavy Snow/Rain")</f>
        <v>3 Light Snow/Rain</v>
      </c>
      <c r="J283" s="7">
        <v>0.14000000000000001</v>
      </c>
      <c r="K283" s="7">
        <v>0.13639999999999999</v>
      </c>
      <c r="L283" s="7">
        <v>0.86</v>
      </c>
      <c r="M283" s="7">
        <v>0.19400000000000001</v>
      </c>
      <c r="N283" s="1">
        <v>0</v>
      </c>
      <c r="O283" s="1">
        <v>16</v>
      </c>
      <c r="P283" s="1">
        <v>16</v>
      </c>
      <c r="Q283" s="1" t="str" cm="1">
        <f t="array" ref="Q283">_xlfn.IFS(dataset3[[#This Row],[Windspeed]]&lt;=0.1,"0.00 -0.10",dataset3[[#This Row],[Windspeed]]&lt;=0.2,"0.10-0.20",dataset3[[#This Row],[Windspeed]]&lt;=0.3,"0.20-0.30",dataset3[[#This Row],[Windspeed]]&lt;=0.4,"0.30-0.40",dataset3[[#This Row],[Windspeed]]&lt;=0.5,"0.40-0.50",dataset3[[#This Row],[Windspeed]]&lt;=0.6,"0.50-0.60")</f>
        <v>0.10-0.20</v>
      </c>
      <c r="R283" s="1" t="str" cm="1">
        <f t="array" ref="R28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284" spans="1:18" x14ac:dyDescent="0.25">
      <c r="A284" s="1">
        <v>902</v>
      </c>
      <c r="B284" s="3">
        <v>40584</v>
      </c>
      <c r="C284" s="1">
        <v>1</v>
      </c>
      <c r="D284" s="1">
        <v>1</v>
      </c>
      <c r="E284" s="1" t="s">
        <v>27</v>
      </c>
      <c r="F284" s="1">
        <v>4</v>
      </c>
      <c r="G284" s="1">
        <v>3</v>
      </c>
      <c r="H284" s="1" t="str">
        <f t="shared" si="4"/>
        <v>Thursday</v>
      </c>
      <c r="I284" s="1" t="str" cm="1">
        <f t="array" ref="I284">_xlfn.IFS(dataset3[[#This Row],[Weather sit]]=1,"1 Clear",dataset3[[#This Row],[Weather sit]]=2,"2 Misty/Cloudy",dataset3[[#This Row],[Weather sit]]=3,"3 Light Snow/Rain",dataset3[[#This Row],[Weather sit]]=4,"4 Heavy Snow/Rain")</f>
        <v>3 Light Snow/Rain</v>
      </c>
      <c r="J284" s="7">
        <v>0.14000000000000001</v>
      </c>
      <c r="K284" s="7">
        <v>0.1515</v>
      </c>
      <c r="L284" s="7">
        <v>0.8</v>
      </c>
      <c r="M284" s="7">
        <v>0.1343</v>
      </c>
      <c r="N284" s="1">
        <v>0</v>
      </c>
      <c r="O284" s="1">
        <v>7</v>
      </c>
      <c r="P284" s="1">
        <v>7</v>
      </c>
      <c r="Q284" s="1" t="str" cm="1">
        <f t="array" ref="Q284">_xlfn.IFS(dataset3[[#This Row],[Windspeed]]&lt;=0.1,"0.00 -0.10",dataset3[[#This Row],[Windspeed]]&lt;=0.2,"0.10-0.20",dataset3[[#This Row],[Windspeed]]&lt;=0.3,"0.20-0.30",dataset3[[#This Row],[Windspeed]]&lt;=0.4,"0.30-0.40",dataset3[[#This Row],[Windspeed]]&lt;=0.5,"0.40-0.50",dataset3[[#This Row],[Windspeed]]&lt;=0.6,"0.50-0.60")</f>
        <v>0.10-0.20</v>
      </c>
      <c r="R284" s="1" t="str" cm="1">
        <f t="array" ref="R28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85" spans="1:18" x14ac:dyDescent="0.25">
      <c r="A285" s="1">
        <v>903</v>
      </c>
      <c r="B285" s="3">
        <v>40584</v>
      </c>
      <c r="C285" s="1">
        <v>1</v>
      </c>
      <c r="D285" s="1">
        <v>2</v>
      </c>
      <c r="E285" s="1" t="s">
        <v>27</v>
      </c>
      <c r="F285" s="1">
        <v>4</v>
      </c>
      <c r="G285" s="1">
        <v>3</v>
      </c>
      <c r="H285" s="1" t="str">
        <f t="shared" si="4"/>
        <v>Thursday</v>
      </c>
      <c r="I285" s="1" t="str" cm="1">
        <f t="array" ref="I285">_xlfn.IFS(dataset3[[#This Row],[Weather sit]]=1,"1 Clear",dataset3[[#This Row],[Weather sit]]=2,"2 Misty/Cloudy",dataset3[[#This Row],[Weather sit]]=3,"3 Light Snow/Rain",dataset3[[#This Row],[Weather sit]]=4,"4 Heavy Snow/Rain")</f>
        <v>3 Light Snow/Rain</v>
      </c>
      <c r="J285" s="7">
        <v>0.14000000000000001</v>
      </c>
      <c r="K285" s="7">
        <v>0.1515</v>
      </c>
      <c r="L285" s="7">
        <v>0.8</v>
      </c>
      <c r="M285" s="7">
        <v>0.1343</v>
      </c>
      <c r="N285" s="1">
        <v>0</v>
      </c>
      <c r="O285" s="1">
        <v>3</v>
      </c>
      <c r="P285" s="1">
        <v>3</v>
      </c>
      <c r="Q285" s="1" t="str" cm="1">
        <f t="array" ref="Q285">_xlfn.IFS(dataset3[[#This Row],[Windspeed]]&lt;=0.1,"0.00 -0.10",dataset3[[#This Row],[Windspeed]]&lt;=0.2,"0.10-0.20",dataset3[[#This Row],[Windspeed]]&lt;=0.3,"0.20-0.30",dataset3[[#This Row],[Windspeed]]&lt;=0.4,"0.30-0.40",dataset3[[#This Row],[Windspeed]]&lt;=0.5,"0.40-0.50",dataset3[[#This Row],[Windspeed]]&lt;=0.6,"0.50-0.60")</f>
        <v>0.10-0.20</v>
      </c>
      <c r="R285" s="1" t="str" cm="1">
        <f t="array" ref="R28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286" spans="1:18" x14ac:dyDescent="0.25">
      <c r="A286" s="1">
        <v>904</v>
      </c>
      <c r="B286" s="3">
        <v>40584</v>
      </c>
      <c r="C286" s="1">
        <v>1</v>
      </c>
      <c r="D286" s="1">
        <v>4</v>
      </c>
      <c r="E286" s="1" t="s">
        <v>27</v>
      </c>
      <c r="F286" s="1">
        <v>4</v>
      </c>
      <c r="G286" s="1">
        <v>2</v>
      </c>
      <c r="H286" s="1" t="str">
        <f t="shared" si="4"/>
        <v>Thursday</v>
      </c>
      <c r="I286" s="1" t="str" cm="1">
        <f t="array" ref="I286">_xlfn.IFS(dataset3[[#This Row],[Weather sit]]=1,"1 Clear",dataset3[[#This Row],[Weather sit]]=2,"2 Misty/Cloudy",dataset3[[#This Row],[Weather sit]]=3,"3 Light Snow/Rain",dataset3[[#This Row],[Weather sit]]=4,"4 Heavy Snow/Rain")</f>
        <v>2 Misty/Cloudy</v>
      </c>
      <c r="J286" s="7">
        <v>0.14000000000000001</v>
      </c>
      <c r="K286" s="7">
        <v>0.13639999999999999</v>
      </c>
      <c r="L286" s="7">
        <v>0.59</v>
      </c>
      <c r="M286" s="7">
        <v>0.22389999999999999</v>
      </c>
      <c r="N286" s="1">
        <v>0</v>
      </c>
      <c r="O286" s="1">
        <v>1</v>
      </c>
      <c r="P286" s="1">
        <v>1</v>
      </c>
      <c r="Q286" s="1" t="str" cm="1">
        <f t="array" ref="Q286">_xlfn.IFS(dataset3[[#This Row],[Windspeed]]&lt;=0.1,"0.00 -0.10",dataset3[[#This Row],[Windspeed]]&lt;=0.2,"0.10-0.20",dataset3[[#This Row],[Windspeed]]&lt;=0.3,"0.20-0.30",dataset3[[#This Row],[Windspeed]]&lt;=0.4,"0.30-0.40",dataset3[[#This Row],[Windspeed]]&lt;=0.5,"0.40-0.50",dataset3[[#This Row],[Windspeed]]&lt;=0.6,"0.50-0.60")</f>
        <v>0.20-0.30</v>
      </c>
      <c r="R286" s="1" t="str" cm="1">
        <f t="array" ref="R28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287" spans="1:18" x14ac:dyDescent="0.25">
      <c r="A287" s="1">
        <v>905</v>
      </c>
      <c r="B287" s="3">
        <v>40584</v>
      </c>
      <c r="C287" s="1">
        <v>1</v>
      </c>
      <c r="D287" s="1">
        <v>5</v>
      </c>
      <c r="E287" s="1" t="s">
        <v>27</v>
      </c>
      <c r="F287" s="1">
        <v>4</v>
      </c>
      <c r="G287" s="1">
        <v>2</v>
      </c>
      <c r="H287" s="1" t="str">
        <f t="shared" si="4"/>
        <v>Thursday</v>
      </c>
      <c r="I287" s="1" t="str" cm="1">
        <f t="array" ref="I287">_xlfn.IFS(dataset3[[#This Row],[Weather sit]]=1,"1 Clear",dataset3[[#This Row],[Weather sit]]=2,"2 Misty/Cloudy",dataset3[[#This Row],[Weather sit]]=3,"3 Light Snow/Rain",dataset3[[#This Row],[Weather sit]]=4,"4 Heavy Snow/Rain")</f>
        <v>2 Misty/Cloudy</v>
      </c>
      <c r="J287" s="7">
        <v>0.12</v>
      </c>
      <c r="K287" s="7">
        <v>0.1212</v>
      </c>
      <c r="L287" s="7">
        <v>0.5</v>
      </c>
      <c r="M287" s="7">
        <v>0.22389999999999999</v>
      </c>
      <c r="N287" s="1">
        <v>0</v>
      </c>
      <c r="O287" s="1">
        <v>6</v>
      </c>
      <c r="P287" s="1">
        <v>6</v>
      </c>
      <c r="Q287" s="1" t="str" cm="1">
        <f t="array" ref="Q287">_xlfn.IFS(dataset3[[#This Row],[Windspeed]]&lt;=0.1,"0.00 -0.10",dataset3[[#This Row],[Windspeed]]&lt;=0.2,"0.10-0.20",dataset3[[#This Row],[Windspeed]]&lt;=0.3,"0.20-0.30",dataset3[[#This Row],[Windspeed]]&lt;=0.4,"0.30-0.40",dataset3[[#This Row],[Windspeed]]&lt;=0.5,"0.40-0.50",dataset3[[#This Row],[Windspeed]]&lt;=0.6,"0.50-0.60")</f>
        <v>0.20-0.30</v>
      </c>
      <c r="R287" s="1" t="str" cm="1">
        <f t="array" ref="R28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88" spans="1:18" x14ac:dyDescent="0.25">
      <c r="A288" s="1">
        <v>906</v>
      </c>
      <c r="B288" s="3">
        <v>40584</v>
      </c>
      <c r="C288" s="1">
        <v>1</v>
      </c>
      <c r="D288" s="1">
        <v>6</v>
      </c>
      <c r="E288" s="1" t="s">
        <v>27</v>
      </c>
      <c r="F288" s="1">
        <v>4</v>
      </c>
      <c r="G288" s="1">
        <v>2</v>
      </c>
      <c r="H288" s="1" t="str">
        <f t="shared" si="4"/>
        <v>Thursday</v>
      </c>
      <c r="I288" s="1" t="str" cm="1">
        <f t="array" ref="I288">_xlfn.IFS(dataset3[[#This Row],[Weather sit]]=1,"1 Clear",dataset3[[#This Row],[Weather sit]]=2,"2 Misty/Cloudy",dataset3[[#This Row],[Weather sit]]=3,"3 Light Snow/Rain",dataset3[[#This Row],[Weather sit]]=4,"4 Heavy Snow/Rain")</f>
        <v>2 Misty/Cloudy</v>
      </c>
      <c r="J288" s="7">
        <v>0.12</v>
      </c>
      <c r="K288" s="7">
        <v>0.1212</v>
      </c>
      <c r="L288" s="7">
        <v>0.54</v>
      </c>
      <c r="M288" s="7">
        <v>0.28360000000000002</v>
      </c>
      <c r="N288" s="1">
        <v>0</v>
      </c>
      <c r="O288" s="1">
        <v>26</v>
      </c>
      <c r="P288" s="1">
        <v>26</v>
      </c>
      <c r="Q288" s="1" t="str" cm="1">
        <f t="array" ref="Q288">_xlfn.IFS(dataset3[[#This Row],[Windspeed]]&lt;=0.1,"0.00 -0.10",dataset3[[#This Row],[Windspeed]]&lt;=0.2,"0.10-0.20",dataset3[[#This Row],[Windspeed]]&lt;=0.3,"0.20-0.30",dataset3[[#This Row],[Windspeed]]&lt;=0.4,"0.30-0.40",dataset3[[#This Row],[Windspeed]]&lt;=0.5,"0.40-0.50",dataset3[[#This Row],[Windspeed]]&lt;=0.6,"0.50-0.60")</f>
        <v>0.20-0.30</v>
      </c>
      <c r="R288" s="1" t="str" cm="1">
        <f t="array" ref="R28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289" spans="1:18" x14ac:dyDescent="0.25">
      <c r="A289" s="1">
        <v>907</v>
      </c>
      <c r="B289" s="3">
        <v>40584</v>
      </c>
      <c r="C289" s="1">
        <v>1</v>
      </c>
      <c r="D289" s="1">
        <v>7</v>
      </c>
      <c r="E289" s="1" t="s">
        <v>27</v>
      </c>
      <c r="F289" s="1">
        <v>4</v>
      </c>
      <c r="G289" s="1">
        <v>1</v>
      </c>
      <c r="H289" s="1" t="str">
        <f t="shared" si="4"/>
        <v>Thursday</v>
      </c>
      <c r="I289" s="1" t="str" cm="1">
        <f t="array" ref="I289">_xlfn.IFS(dataset3[[#This Row],[Weather sit]]=1,"1 Clear",dataset3[[#This Row],[Weather sit]]=2,"2 Misty/Cloudy",dataset3[[#This Row],[Weather sit]]=3,"3 Light Snow/Rain",dataset3[[#This Row],[Weather sit]]=4,"4 Heavy Snow/Rain")</f>
        <v>1 Clear</v>
      </c>
      <c r="J289" s="7">
        <v>0.1</v>
      </c>
      <c r="K289" s="7">
        <v>7.5800000000000006E-2</v>
      </c>
      <c r="L289" s="7">
        <v>0.5</v>
      </c>
      <c r="M289" s="7">
        <v>0.41789999999999999</v>
      </c>
      <c r="N289" s="1">
        <v>0</v>
      </c>
      <c r="O289" s="1">
        <v>99</v>
      </c>
      <c r="P289" s="1">
        <v>99</v>
      </c>
      <c r="Q289" s="1" t="str" cm="1">
        <f t="array" ref="Q289">_xlfn.IFS(dataset3[[#This Row],[Windspeed]]&lt;=0.1,"0.00 -0.10",dataset3[[#This Row],[Windspeed]]&lt;=0.2,"0.10-0.20",dataset3[[#This Row],[Windspeed]]&lt;=0.3,"0.20-0.30",dataset3[[#This Row],[Windspeed]]&lt;=0.4,"0.30-0.40",dataset3[[#This Row],[Windspeed]]&lt;=0.5,"0.40-0.50",dataset3[[#This Row],[Windspeed]]&lt;=0.6,"0.50-0.60")</f>
        <v>0.40-0.50</v>
      </c>
      <c r="R289" s="1" t="str" cm="1">
        <f t="array" ref="R28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90" spans="1:18" x14ac:dyDescent="0.25">
      <c r="A290" s="1">
        <v>908</v>
      </c>
      <c r="B290" s="3">
        <v>40584</v>
      </c>
      <c r="C290" s="1">
        <v>1</v>
      </c>
      <c r="D290" s="1">
        <v>8</v>
      </c>
      <c r="E290" s="1" t="s">
        <v>27</v>
      </c>
      <c r="F290" s="1">
        <v>4</v>
      </c>
      <c r="G290" s="1">
        <v>1</v>
      </c>
      <c r="H290" s="1" t="str">
        <f t="shared" si="4"/>
        <v>Thursday</v>
      </c>
      <c r="I290" s="1" t="str" cm="1">
        <f t="array" ref="I290">_xlfn.IFS(dataset3[[#This Row],[Weather sit]]=1,"1 Clear",dataset3[[#This Row],[Weather sit]]=2,"2 Misty/Cloudy",dataset3[[#This Row],[Weather sit]]=3,"3 Light Snow/Rain",dataset3[[#This Row],[Weather sit]]=4,"4 Heavy Snow/Rain")</f>
        <v>1 Clear</v>
      </c>
      <c r="J290" s="7">
        <v>0.1</v>
      </c>
      <c r="K290" s="7">
        <v>7.5800000000000006E-2</v>
      </c>
      <c r="L290" s="7">
        <v>0.49</v>
      </c>
      <c r="M290" s="7">
        <v>0.32840000000000003</v>
      </c>
      <c r="N290" s="1">
        <v>5</v>
      </c>
      <c r="O290" s="1">
        <v>173</v>
      </c>
      <c r="P290" s="1">
        <v>178</v>
      </c>
      <c r="Q290" s="1" t="str" cm="1">
        <f t="array" ref="Q290">_xlfn.IFS(dataset3[[#This Row],[Windspeed]]&lt;=0.1,"0.00 -0.10",dataset3[[#This Row],[Windspeed]]&lt;=0.2,"0.10-0.20",dataset3[[#This Row],[Windspeed]]&lt;=0.3,"0.20-0.30",dataset3[[#This Row],[Windspeed]]&lt;=0.4,"0.30-0.40",dataset3[[#This Row],[Windspeed]]&lt;=0.5,"0.40-0.50",dataset3[[#This Row],[Windspeed]]&lt;=0.6,"0.50-0.60")</f>
        <v>0.30-0.40</v>
      </c>
      <c r="R290" s="1" t="str" cm="1">
        <f t="array" ref="R29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91" spans="1:18" x14ac:dyDescent="0.25">
      <c r="A291" s="1">
        <v>909</v>
      </c>
      <c r="B291" s="3">
        <v>40584</v>
      </c>
      <c r="C291" s="1">
        <v>1</v>
      </c>
      <c r="D291" s="1">
        <v>9</v>
      </c>
      <c r="E291" s="1" t="s">
        <v>27</v>
      </c>
      <c r="F291" s="1">
        <v>4</v>
      </c>
      <c r="G291" s="1">
        <v>1</v>
      </c>
      <c r="H291" s="1" t="str">
        <f t="shared" si="4"/>
        <v>Thursday</v>
      </c>
      <c r="I291" s="1" t="str" cm="1">
        <f t="array" ref="I291">_xlfn.IFS(dataset3[[#This Row],[Weather sit]]=1,"1 Clear",dataset3[[#This Row],[Weather sit]]=2,"2 Misty/Cloudy",dataset3[[#This Row],[Weather sit]]=3,"3 Light Snow/Rain",dataset3[[#This Row],[Weather sit]]=4,"4 Heavy Snow/Rain")</f>
        <v>1 Clear</v>
      </c>
      <c r="J291" s="7">
        <v>0.12</v>
      </c>
      <c r="K291" s="7">
        <v>0.1061</v>
      </c>
      <c r="L291" s="7">
        <v>0.42</v>
      </c>
      <c r="M291" s="7">
        <v>0.35820000000000002</v>
      </c>
      <c r="N291" s="1">
        <v>1</v>
      </c>
      <c r="O291" s="1">
        <v>121</v>
      </c>
      <c r="P291" s="1">
        <v>122</v>
      </c>
      <c r="Q291" s="1" t="str" cm="1">
        <f t="array" ref="Q291">_xlfn.IFS(dataset3[[#This Row],[Windspeed]]&lt;=0.1,"0.00 -0.10",dataset3[[#This Row],[Windspeed]]&lt;=0.2,"0.10-0.20",dataset3[[#This Row],[Windspeed]]&lt;=0.3,"0.20-0.30",dataset3[[#This Row],[Windspeed]]&lt;=0.4,"0.30-0.40",dataset3[[#This Row],[Windspeed]]&lt;=0.5,"0.40-0.50",dataset3[[#This Row],[Windspeed]]&lt;=0.6,"0.50-0.60")</f>
        <v>0.30-0.40</v>
      </c>
      <c r="R291" s="1" t="str" cm="1">
        <f t="array" ref="R29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92" spans="1:18" x14ac:dyDescent="0.25">
      <c r="A292" s="1">
        <v>910</v>
      </c>
      <c r="B292" s="3">
        <v>40584</v>
      </c>
      <c r="C292" s="1">
        <v>1</v>
      </c>
      <c r="D292" s="1">
        <v>10</v>
      </c>
      <c r="E292" s="1" t="s">
        <v>27</v>
      </c>
      <c r="F292" s="1">
        <v>4</v>
      </c>
      <c r="G292" s="1">
        <v>1</v>
      </c>
      <c r="H292" s="1" t="str">
        <f t="shared" si="4"/>
        <v>Thursday</v>
      </c>
      <c r="I292" s="1" t="str" cm="1">
        <f t="array" ref="I292">_xlfn.IFS(dataset3[[#This Row],[Weather sit]]=1,"1 Clear",dataset3[[#This Row],[Weather sit]]=2,"2 Misty/Cloudy",dataset3[[#This Row],[Weather sit]]=3,"3 Light Snow/Rain",dataset3[[#This Row],[Weather sit]]=4,"4 Heavy Snow/Rain")</f>
        <v>1 Clear</v>
      </c>
      <c r="J292" s="7">
        <v>0.12</v>
      </c>
      <c r="K292" s="7">
        <v>0.1061</v>
      </c>
      <c r="L292" s="7">
        <v>0.42</v>
      </c>
      <c r="M292" s="7">
        <v>0.29849999999999999</v>
      </c>
      <c r="N292" s="1">
        <v>1</v>
      </c>
      <c r="O292" s="1">
        <v>34</v>
      </c>
      <c r="P292" s="1">
        <v>35</v>
      </c>
      <c r="Q292" s="1" t="str" cm="1">
        <f t="array" ref="Q292">_xlfn.IFS(dataset3[[#This Row],[Windspeed]]&lt;=0.1,"0.00 -0.10",dataset3[[#This Row],[Windspeed]]&lt;=0.2,"0.10-0.20",dataset3[[#This Row],[Windspeed]]&lt;=0.3,"0.20-0.30",dataset3[[#This Row],[Windspeed]]&lt;=0.4,"0.30-0.40",dataset3[[#This Row],[Windspeed]]&lt;=0.5,"0.40-0.50",dataset3[[#This Row],[Windspeed]]&lt;=0.6,"0.50-0.60")</f>
        <v>0.20-0.30</v>
      </c>
      <c r="R292" s="1" t="str" cm="1">
        <f t="array" ref="R29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293" spans="1:18" x14ac:dyDescent="0.25">
      <c r="A293" s="1">
        <v>911</v>
      </c>
      <c r="B293" s="3">
        <v>40584</v>
      </c>
      <c r="C293" s="1">
        <v>1</v>
      </c>
      <c r="D293" s="1">
        <v>11</v>
      </c>
      <c r="E293" s="1" t="s">
        <v>27</v>
      </c>
      <c r="F293" s="1">
        <v>4</v>
      </c>
      <c r="G293" s="1">
        <v>1</v>
      </c>
      <c r="H293" s="1" t="str">
        <f t="shared" si="4"/>
        <v>Thursday</v>
      </c>
      <c r="I293" s="1" t="str" cm="1">
        <f t="array" ref="I293">_xlfn.IFS(dataset3[[#This Row],[Weather sit]]=1,"1 Clear",dataset3[[#This Row],[Weather sit]]=2,"2 Misty/Cloudy",dataset3[[#This Row],[Weather sit]]=3,"3 Light Snow/Rain",dataset3[[#This Row],[Weather sit]]=4,"4 Heavy Snow/Rain")</f>
        <v>1 Clear</v>
      </c>
      <c r="J293" s="7">
        <v>0.14000000000000001</v>
      </c>
      <c r="K293" s="7">
        <v>0.1212</v>
      </c>
      <c r="L293" s="7">
        <v>0.39</v>
      </c>
      <c r="M293" s="7">
        <v>0.35820000000000002</v>
      </c>
      <c r="N293" s="1">
        <v>1</v>
      </c>
      <c r="O293" s="1">
        <v>44</v>
      </c>
      <c r="P293" s="1">
        <v>45</v>
      </c>
      <c r="Q293" s="1" t="str" cm="1">
        <f t="array" ref="Q293">_xlfn.IFS(dataset3[[#This Row],[Windspeed]]&lt;=0.1,"0.00 -0.10",dataset3[[#This Row],[Windspeed]]&lt;=0.2,"0.10-0.20",dataset3[[#This Row],[Windspeed]]&lt;=0.3,"0.20-0.30",dataset3[[#This Row],[Windspeed]]&lt;=0.4,"0.30-0.40",dataset3[[#This Row],[Windspeed]]&lt;=0.5,"0.40-0.50",dataset3[[#This Row],[Windspeed]]&lt;=0.6,"0.50-0.60")</f>
        <v>0.30-0.40</v>
      </c>
      <c r="R293" s="1" t="str" cm="1">
        <f t="array" ref="R29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94" spans="1:18" x14ac:dyDescent="0.25">
      <c r="A294" s="1">
        <v>912</v>
      </c>
      <c r="B294" s="3">
        <v>40584</v>
      </c>
      <c r="C294" s="1">
        <v>1</v>
      </c>
      <c r="D294" s="1">
        <v>12</v>
      </c>
      <c r="E294" s="1" t="s">
        <v>27</v>
      </c>
      <c r="F294" s="1">
        <v>4</v>
      </c>
      <c r="G294" s="1">
        <v>1</v>
      </c>
      <c r="H294" s="1" t="str">
        <f t="shared" si="4"/>
        <v>Thursday</v>
      </c>
      <c r="I294" s="1" t="str" cm="1">
        <f t="array" ref="I294">_xlfn.IFS(dataset3[[#This Row],[Weather sit]]=1,"1 Clear",dataset3[[#This Row],[Weather sit]]=2,"2 Misty/Cloudy",dataset3[[#This Row],[Weather sit]]=3,"3 Light Snow/Rain",dataset3[[#This Row],[Weather sit]]=4,"4 Heavy Snow/Rain")</f>
        <v>1 Clear</v>
      </c>
      <c r="J294" s="7">
        <v>0.16</v>
      </c>
      <c r="K294" s="7">
        <v>0.13639999999999999</v>
      </c>
      <c r="L294" s="7">
        <v>0.34</v>
      </c>
      <c r="M294" s="7">
        <v>0.3881</v>
      </c>
      <c r="N294" s="1">
        <v>4</v>
      </c>
      <c r="O294" s="1">
        <v>65</v>
      </c>
      <c r="P294" s="1">
        <v>69</v>
      </c>
      <c r="Q294" s="1" t="str" cm="1">
        <f t="array" ref="Q294">_xlfn.IFS(dataset3[[#This Row],[Windspeed]]&lt;=0.1,"0.00 -0.10",dataset3[[#This Row],[Windspeed]]&lt;=0.2,"0.10-0.20",dataset3[[#This Row],[Windspeed]]&lt;=0.3,"0.20-0.30",dataset3[[#This Row],[Windspeed]]&lt;=0.4,"0.30-0.40",dataset3[[#This Row],[Windspeed]]&lt;=0.5,"0.40-0.50",dataset3[[#This Row],[Windspeed]]&lt;=0.6,"0.50-0.60")</f>
        <v>0.30-0.40</v>
      </c>
      <c r="R294" s="1" t="str" cm="1">
        <f t="array" ref="R29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295" spans="1:18" x14ac:dyDescent="0.25">
      <c r="A295" s="1">
        <v>913</v>
      </c>
      <c r="B295" s="3">
        <v>40584</v>
      </c>
      <c r="C295" s="1">
        <v>1</v>
      </c>
      <c r="D295" s="1">
        <v>13</v>
      </c>
      <c r="E295" s="1" t="s">
        <v>27</v>
      </c>
      <c r="F295" s="1">
        <v>4</v>
      </c>
      <c r="G295" s="1">
        <v>1</v>
      </c>
      <c r="H295" s="1" t="str">
        <f t="shared" si="4"/>
        <v>Thursday</v>
      </c>
      <c r="I295" s="1" t="str" cm="1">
        <f t="array" ref="I295">_xlfn.IFS(dataset3[[#This Row],[Weather sit]]=1,"1 Clear",dataset3[[#This Row],[Weather sit]]=2,"2 Misty/Cloudy",dataset3[[#This Row],[Weather sit]]=3,"3 Light Snow/Rain",dataset3[[#This Row],[Weather sit]]=4,"4 Heavy Snow/Rain")</f>
        <v>1 Clear</v>
      </c>
      <c r="J295" s="7">
        <v>0.18</v>
      </c>
      <c r="K295" s="7">
        <v>0.16669999999999999</v>
      </c>
      <c r="L295" s="7">
        <v>0.28999999999999998</v>
      </c>
      <c r="M295" s="7">
        <v>0.29849999999999999</v>
      </c>
      <c r="N295" s="1">
        <v>3</v>
      </c>
      <c r="O295" s="1">
        <v>59</v>
      </c>
      <c r="P295" s="1">
        <v>62</v>
      </c>
      <c r="Q295" s="1" t="str" cm="1">
        <f t="array" ref="Q295">_xlfn.IFS(dataset3[[#This Row],[Windspeed]]&lt;=0.1,"0.00 -0.10",dataset3[[#This Row],[Windspeed]]&lt;=0.2,"0.10-0.20",dataset3[[#This Row],[Windspeed]]&lt;=0.3,"0.20-0.30",dataset3[[#This Row],[Windspeed]]&lt;=0.4,"0.30-0.40",dataset3[[#This Row],[Windspeed]]&lt;=0.5,"0.40-0.50",dataset3[[#This Row],[Windspeed]]&lt;=0.6,"0.50-0.60")</f>
        <v>0.20-0.30</v>
      </c>
      <c r="R295" s="1" t="str" cm="1">
        <f t="array" ref="R29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296" spans="1:18" x14ac:dyDescent="0.25">
      <c r="A296" s="1">
        <v>914</v>
      </c>
      <c r="B296" s="3">
        <v>40584</v>
      </c>
      <c r="C296" s="1">
        <v>1</v>
      </c>
      <c r="D296" s="1">
        <v>14</v>
      </c>
      <c r="E296" s="1" t="s">
        <v>27</v>
      </c>
      <c r="F296" s="1">
        <v>4</v>
      </c>
      <c r="G296" s="1">
        <v>1</v>
      </c>
      <c r="H296" s="1" t="str">
        <f t="shared" si="4"/>
        <v>Thursday</v>
      </c>
      <c r="I296" s="1" t="str" cm="1">
        <f t="array" ref="I296">_xlfn.IFS(dataset3[[#This Row],[Weather sit]]=1,"1 Clear",dataset3[[#This Row],[Weather sit]]=2,"2 Misty/Cloudy",dataset3[[#This Row],[Weather sit]]=3,"3 Light Snow/Rain",dataset3[[#This Row],[Weather sit]]=4,"4 Heavy Snow/Rain")</f>
        <v>1 Clear</v>
      </c>
      <c r="J296" s="7">
        <v>0.2</v>
      </c>
      <c r="K296" s="7">
        <v>0.18179999999999999</v>
      </c>
      <c r="L296" s="7">
        <v>0.27</v>
      </c>
      <c r="M296" s="7">
        <v>0.28360000000000002</v>
      </c>
      <c r="N296" s="1">
        <v>6</v>
      </c>
      <c r="O296" s="1">
        <v>42</v>
      </c>
      <c r="P296" s="1">
        <v>48</v>
      </c>
      <c r="Q296" s="1" t="str" cm="1">
        <f t="array" ref="Q296">_xlfn.IFS(dataset3[[#This Row],[Windspeed]]&lt;=0.1,"0.00 -0.10",dataset3[[#This Row],[Windspeed]]&lt;=0.2,"0.10-0.20",dataset3[[#This Row],[Windspeed]]&lt;=0.3,"0.20-0.30",dataset3[[#This Row],[Windspeed]]&lt;=0.4,"0.30-0.40",dataset3[[#This Row],[Windspeed]]&lt;=0.5,"0.40-0.50",dataset3[[#This Row],[Windspeed]]&lt;=0.6,"0.50-0.60")</f>
        <v>0.20-0.30</v>
      </c>
      <c r="R296" s="1" t="str" cm="1">
        <f t="array" ref="R29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297" spans="1:18" x14ac:dyDescent="0.25">
      <c r="A297" s="1">
        <v>915</v>
      </c>
      <c r="B297" s="3">
        <v>40584</v>
      </c>
      <c r="C297" s="1">
        <v>1</v>
      </c>
      <c r="D297" s="1">
        <v>15</v>
      </c>
      <c r="E297" s="1" t="s">
        <v>27</v>
      </c>
      <c r="F297" s="1">
        <v>4</v>
      </c>
      <c r="G297" s="1">
        <v>1</v>
      </c>
      <c r="H297" s="1" t="str">
        <f t="shared" si="4"/>
        <v>Thursday</v>
      </c>
      <c r="I297" s="1" t="str" cm="1">
        <f t="array" ref="I297">_xlfn.IFS(dataset3[[#This Row],[Weather sit]]=1,"1 Clear",dataset3[[#This Row],[Weather sit]]=2,"2 Misty/Cloudy",dataset3[[#This Row],[Weather sit]]=3,"3 Light Snow/Rain",dataset3[[#This Row],[Weather sit]]=4,"4 Heavy Snow/Rain")</f>
        <v>1 Clear</v>
      </c>
      <c r="J297" s="7">
        <v>0.2</v>
      </c>
      <c r="K297" s="7">
        <v>0.19700000000000001</v>
      </c>
      <c r="L297" s="7">
        <v>0.25</v>
      </c>
      <c r="M297" s="7">
        <v>0.25369999999999998</v>
      </c>
      <c r="N297" s="1">
        <v>0</v>
      </c>
      <c r="O297" s="1">
        <v>50</v>
      </c>
      <c r="P297" s="1">
        <v>50</v>
      </c>
      <c r="Q297" s="1" t="str" cm="1">
        <f t="array" ref="Q297">_xlfn.IFS(dataset3[[#This Row],[Windspeed]]&lt;=0.1,"0.00 -0.10",dataset3[[#This Row],[Windspeed]]&lt;=0.2,"0.10-0.20",dataset3[[#This Row],[Windspeed]]&lt;=0.3,"0.20-0.30",dataset3[[#This Row],[Windspeed]]&lt;=0.4,"0.30-0.40",dataset3[[#This Row],[Windspeed]]&lt;=0.5,"0.40-0.50",dataset3[[#This Row],[Windspeed]]&lt;=0.6,"0.50-0.60")</f>
        <v>0.20-0.30</v>
      </c>
      <c r="R297" s="1" t="str" cm="1">
        <f t="array" ref="R29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298" spans="1:18" x14ac:dyDescent="0.25">
      <c r="A298" s="1">
        <v>916</v>
      </c>
      <c r="B298" s="3">
        <v>40584</v>
      </c>
      <c r="C298" s="1">
        <v>1</v>
      </c>
      <c r="D298" s="1">
        <v>16</v>
      </c>
      <c r="E298" s="1" t="s">
        <v>27</v>
      </c>
      <c r="F298" s="1">
        <v>4</v>
      </c>
      <c r="G298" s="1">
        <v>1</v>
      </c>
      <c r="H298" s="1" t="str">
        <f t="shared" si="4"/>
        <v>Thursday</v>
      </c>
      <c r="I298" s="1" t="str" cm="1">
        <f t="array" ref="I298">_xlfn.IFS(dataset3[[#This Row],[Weather sit]]=1,"1 Clear",dataset3[[#This Row],[Weather sit]]=2,"2 Misty/Cloudy",dataset3[[#This Row],[Weather sit]]=3,"3 Light Snow/Rain",dataset3[[#This Row],[Weather sit]]=4,"4 Heavy Snow/Rain")</f>
        <v>1 Clear</v>
      </c>
      <c r="J298" s="7">
        <v>0.2</v>
      </c>
      <c r="K298" s="7">
        <v>0.18179999999999999</v>
      </c>
      <c r="L298" s="7">
        <v>0.27</v>
      </c>
      <c r="M298" s="7">
        <v>0.29849999999999999</v>
      </c>
      <c r="N298" s="1">
        <v>4</v>
      </c>
      <c r="O298" s="1">
        <v>76</v>
      </c>
      <c r="P298" s="1">
        <v>80</v>
      </c>
      <c r="Q298" s="1" t="str" cm="1">
        <f t="array" ref="Q298">_xlfn.IFS(dataset3[[#This Row],[Windspeed]]&lt;=0.1,"0.00 -0.10",dataset3[[#This Row],[Windspeed]]&lt;=0.2,"0.10-0.20",dataset3[[#This Row],[Windspeed]]&lt;=0.3,"0.20-0.30",dataset3[[#This Row],[Windspeed]]&lt;=0.4,"0.30-0.40",dataset3[[#This Row],[Windspeed]]&lt;=0.5,"0.40-0.50",dataset3[[#This Row],[Windspeed]]&lt;=0.6,"0.50-0.60")</f>
        <v>0.20-0.30</v>
      </c>
      <c r="R298" s="1" t="str" cm="1">
        <f t="array" ref="R29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299" spans="1:18" x14ac:dyDescent="0.25">
      <c r="A299" s="1">
        <v>917</v>
      </c>
      <c r="B299" s="3">
        <v>40584</v>
      </c>
      <c r="C299" s="1">
        <v>1</v>
      </c>
      <c r="D299" s="1">
        <v>17</v>
      </c>
      <c r="E299" s="1" t="s">
        <v>27</v>
      </c>
      <c r="F299" s="1">
        <v>4</v>
      </c>
      <c r="G299" s="1">
        <v>1</v>
      </c>
      <c r="H299" s="1" t="str">
        <f t="shared" si="4"/>
        <v>Thursday</v>
      </c>
      <c r="I299" s="1" t="str" cm="1">
        <f t="array" ref="I299">_xlfn.IFS(dataset3[[#This Row],[Weather sit]]=1,"1 Clear",dataset3[[#This Row],[Weather sit]]=2,"2 Misty/Cloudy",dataset3[[#This Row],[Weather sit]]=3,"3 Light Snow/Rain",dataset3[[#This Row],[Weather sit]]=4,"4 Heavy Snow/Rain")</f>
        <v>1 Clear</v>
      </c>
      <c r="J299" s="7">
        <v>0.18</v>
      </c>
      <c r="K299" s="7">
        <v>0.18179999999999999</v>
      </c>
      <c r="L299" s="7">
        <v>0.26</v>
      </c>
      <c r="M299" s="7">
        <v>0.19400000000000001</v>
      </c>
      <c r="N299" s="1">
        <v>6</v>
      </c>
      <c r="O299" s="1">
        <v>159</v>
      </c>
      <c r="P299" s="1">
        <v>165</v>
      </c>
      <c r="Q299" s="1" t="str" cm="1">
        <f t="array" ref="Q299">_xlfn.IFS(dataset3[[#This Row],[Windspeed]]&lt;=0.1,"0.00 -0.10",dataset3[[#This Row],[Windspeed]]&lt;=0.2,"0.10-0.20",dataset3[[#This Row],[Windspeed]]&lt;=0.3,"0.20-0.30",dataset3[[#This Row],[Windspeed]]&lt;=0.4,"0.30-0.40",dataset3[[#This Row],[Windspeed]]&lt;=0.5,"0.40-0.50",dataset3[[#This Row],[Windspeed]]&lt;=0.6,"0.50-0.60")</f>
        <v>0.10-0.20</v>
      </c>
      <c r="R299" s="1" t="str" cm="1">
        <f t="array" ref="R29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00" spans="1:18" x14ac:dyDescent="0.25">
      <c r="A300" s="1">
        <v>918</v>
      </c>
      <c r="B300" s="3">
        <v>40584</v>
      </c>
      <c r="C300" s="1">
        <v>1</v>
      </c>
      <c r="D300" s="1">
        <v>18</v>
      </c>
      <c r="E300" s="1" t="s">
        <v>27</v>
      </c>
      <c r="F300" s="1">
        <v>4</v>
      </c>
      <c r="G300" s="1">
        <v>1</v>
      </c>
      <c r="H300" s="1" t="str">
        <f t="shared" si="4"/>
        <v>Thursday</v>
      </c>
      <c r="I300" s="1" t="str" cm="1">
        <f t="array" ref="I300">_xlfn.IFS(dataset3[[#This Row],[Weather sit]]=1,"1 Clear",dataset3[[#This Row],[Weather sit]]=2,"2 Misty/Cloudy",dataset3[[#This Row],[Weather sit]]=3,"3 Light Snow/Rain",dataset3[[#This Row],[Weather sit]]=4,"4 Heavy Snow/Rain")</f>
        <v>1 Clear</v>
      </c>
      <c r="J300" s="7">
        <v>0.16</v>
      </c>
      <c r="K300" s="7">
        <v>0.18179999999999999</v>
      </c>
      <c r="L300" s="7">
        <v>0.28000000000000003</v>
      </c>
      <c r="M300" s="7">
        <v>0.1343</v>
      </c>
      <c r="N300" s="1">
        <v>3</v>
      </c>
      <c r="O300" s="1">
        <v>157</v>
      </c>
      <c r="P300" s="1">
        <v>160</v>
      </c>
      <c r="Q300" s="1" t="str" cm="1">
        <f t="array" ref="Q300">_xlfn.IFS(dataset3[[#This Row],[Windspeed]]&lt;=0.1,"0.00 -0.10",dataset3[[#This Row],[Windspeed]]&lt;=0.2,"0.10-0.20",dataset3[[#This Row],[Windspeed]]&lt;=0.3,"0.20-0.30",dataset3[[#This Row],[Windspeed]]&lt;=0.4,"0.30-0.40",dataset3[[#This Row],[Windspeed]]&lt;=0.5,"0.40-0.50",dataset3[[#This Row],[Windspeed]]&lt;=0.6,"0.50-0.60")</f>
        <v>0.10-0.20</v>
      </c>
      <c r="R300" s="1" t="str" cm="1">
        <f t="array" ref="R30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01" spans="1:18" x14ac:dyDescent="0.25">
      <c r="A301" s="1">
        <v>919</v>
      </c>
      <c r="B301" s="3">
        <v>40584</v>
      </c>
      <c r="C301" s="1">
        <v>1</v>
      </c>
      <c r="D301" s="1">
        <v>19</v>
      </c>
      <c r="E301" s="1" t="s">
        <v>27</v>
      </c>
      <c r="F301" s="1">
        <v>4</v>
      </c>
      <c r="G301" s="1">
        <v>1</v>
      </c>
      <c r="H301" s="1" t="str">
        <f t="shared" si="4"/>
        <v>Thursday</v>
      </c>
      <c r="I301" s="1" t="str" cm="1">
        <f t="array" ref="I301">_xlfn.IFS(dataset3[[#This Row],[Weather sit]]=1,"1 Clear",dataset3[[#This Row],[Weather sit]]=2,"2 Misty/Cloudy",dataset3[[#This Row],[Weather sit]]=3,"3 Light Snow/Rain",dataset3[[#This Row],[Weather sit]]=4,"4 Heavy Snow/Rain")</f>
        <v>1 Clear</v>
      </c>
      <c r="J301" s="7">
        <v>0.14000000000000001</v>
      </c>
      <c r="K301" s="7">
        <v>0.16669999999999999</v>
      </c>
      <c r="L301" s="7">
        <v>0.28000000000000003</v>
      </c>
      <c r="M301" s="7">
        <v>0.1045</v>
      </c>
      <c r="N301" s="1">
        <v>2</v>
      </c>
      <c r="O301" s="1">
        <v>110</v>
      </c>
      <c r="P301" s="1">
        <v>112</v>
      </c>
      <c r="Q301" s="1" t="str" cm="1">
        <f t="array" ref="Q301">_xlfn.IFS(dataset3[[#This Row],[Windspeed]]&lt;=0.1,"0.00 -0.10",dataset3[[#This Row],[Windspeed]]&lt;=0.2,"0.10-0.20",dataset3[[#This Row],[Windspeed]]&lt;=0.3,"0.20-0.30",dataset3[[#This Row],[Windspeed]]&lt;=0.4,"0.30-0.40",dataset3[[#This Row],[Windspeed]]&lt;=0.5,"0.40-0.50",dataset3[[#This Row],[Windspeed]]&lt;=0.6,"0.50-0.60")</f>
        <v>0.10-0.20</v>
      </c>
      <c r="R301" s="1" t="str" cm="1">
        <f t="array" ref="R30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02" spans="1:18" x14ac:dyDescent="0.25">
      <c r="A302" s="1">
        <v>920</v>
      </c>
      <c r="B302" s="3">
        <v>40584</v>
      </c>
      <c r="C302" s="1">
        <v>1</v>
      </c>
      <c r="D302" s="1">
        <v>20</v>
      </c>
      <c r="E302" s="1" t="s">
        <v>27</v>
      </c>
      <c r="F302" s="1">
        <v>4</v>
      </c>
      <c r="G302" s="1">
        <v>1</v>
      </c>
      <c r="H302" s="1" t="str">
        <f t="shared" si="4"/>
        <v>Thursday</v>
      </c>
      <c r="I302" s="1" t="str" cm="1">
        <f t="array" ref="I302">_xlfn.IFS(dataset3[[#This Row],[Weather sit]]=1,"1 Clear",dataset3[[#This Row],[Weather sit]]=2,"2 Misty/Cloudy",dataset3[[#This Row],[Weather sit]]=3,"3 Light Snow/Rain",dataset3[[#This Row],[Weather sit]]=4,"4 Heavy Snow/Rain")</f>
        <v>1 Clear</v>
      </c>
      <c r="J302" s="7">
        <v>0.14000000000000001</v>
      </c>
      <c r="K302" s="7">
        <v>0.18179999999999999</v>
      </c>
      <c r="L302" s="7">
        <v>0.31</v>
      </c>
      <c r="M302" s="7">
        <v>8.9599999999999999E-2</v>
      </c>
      <c r="N302" s="1">
        <v>4</v>
      </c>
      <c r="O302" s="1">
        <v>93</v>
      </c>
      <c r="P302" s="1">
        <v>97</v>
      </c>
      <c r="Q302" s="1" t="str" cm="1">
        <f t="array" ref="Q302">_xlfn.IFS(dataset3[[#This Row],[Windspeed]]&lt;=0.1,"0.00 -0.10",dataset3[[#This Row],[Windspeed]]&lt;=0.2,"0.10-0.20",dataset3[[#This Row],[Windspeed]]&lt;=0.3,"0.20-0.30",dataset3[[#This Row],[Windspeed]]&lt;=0.4,"0.30-0.40",dataset3[[#This Row],[Windspeed]]&lt;=0.5,"0.40-0.50",dataset3[[#This Row],[Windspeed]]&lt;=0.6,"0.50-0.60")</f>
        <v>0.00 -0.10</v>
      </c>
      <c r="R302" s="1" t="str" cm="1">
        <f t="array" ref="R30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03" spans="1:18" x14ac:dyDescent="0.25">
      <c r="A303" s="1">
        <v>921</v>
      </c>
      <c r="B303" s="3">
        <v>40584</v>
      </c>
      <c r="C303" s="1">
        <v>1</v>
      </c>
      <c r="D303" s="1">
        <v>21</v>
      </c>
      <c r="E303" s="1" t="s">
        <v>27</v>
      </c>
      <c r="F303" s="1">
        <v>4</v>
      </c>
      <c r="G303" s="1">
        <v>1</v>
      </c>
      <c r="H303" s="1" t="str">
        <f t="shared" si="4"/>
        <v>Thursday</v>
      </c>
      <c r="I303" s="1" t="str" cm="1">
        <f t="array" ref="I303">_xlfn.IFS(dataset3[[#This Row],[Weather sit]]=1,"1 Clear",dataset3[[#This Row],[Weather sit]]=2,"2 Misty/Cloudy",dataset3[[#This Row],[Weather sit]]=3,"3 Light Snow/Rain",dataset3[[#This Row],[Weather sit]]=4,"4 Heavy Snow/Rain")</f>
        <v>1 Clear</v>
      </c>
      <c r="J303" s="7">
        <v>0.14000000000000001</v>
      </c>
      <c r="K303" s="7">
        <v>0.21210000000000001</v>
      </c>
      <c r="L303" s="7">
        <v>0.39</v>
      </c>
      <c r="M303" s="7">
        <v>0</v>
      </c>
      <c r="N303" s="1">
        <v>2</v>
      </c>
      <c r="O303" s="1">
        <v>70</v>
      </c>
      <c r="P303" s="1">
        <v>72</v>
      </c>
      <c r="Q303" s="1" t="str" cm="1">
        <f t="array" ref="Q303">_xlfn.IFS(dataset3[[#This Row],[Windspeed]]&lt;=0.1,"0.00 -0.10",dataset3[[#This Row],[Windspeed]]&lt;=0.2,"0.10-0.20",dataset3[[#This Row],[Windspeed]]&lt;=0.3,"0.20-0.30",dataset3[[#This Row],[Windspeed]]&lt;=0.4,"0.30-0.40",dataset3[[#This Row],[Windspeed]]&lt;=0.5,"0.40-0.50",dataset3[[#This Row],[Windspeed]]&lt;=0.6,"0.50-0.60")</f>
        <v>0.00 -0.10</v>
      </c>
      <c r="R303" s="1" t="str" cm="1">
        <f t="array" ref="R30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04" spans="1:18" x14ac:dyDescent="0.25">
      <c r="A304" s="1">
        <v>922</v>
      </c>
      <c r="B304" s="3">
        <v>40584</v>
      </c>
      <c r="C304" s="1">
        <v>1</v>
      </c>
      <c r="D304" s="1">
        <v>22</v>
      </c>
      <c r="E304" s="1" t="s">
        <v>27</v>
      </c>
      <c r="F304" s="1">
        <v>4</v>
      </c>
      <c r="G304" s="1">
        <v>1</v>
      </c>
      <c r="H304" s="1" t="str">
        <f t="shared" si="4"/>
        <v>Thursday</v>
      </c>
      <c r="I304" s="1" t="str" cm="1">
        <f t="array" ref="I304">_xlfn.IFS(dataset3[[#This Row],[Weather sit]]=1,"1 Clear",dataset3[[#This Row],[Weather sit]]=2,"2 Misty/Cloudy",dataset3[[#This Row],[Weather sit]]=3,"3 Light Snow/Rain",dataset3[[#This Row],[Weather sit]]=4,"4 Heavy Snow/Rain")</f>
        <v>1 Clear</v>
      </c>
      <c r="J304" s="7">
        <v>0.12</v>
      </c>
      <c r="K304" s="7">
        <v>0.19700000000000001</v>
      </c>
      <c r="L304" s="7">
        <v>0.39</v>
      </c>
      <c r="M304" s="7">
        <v>0</v>
      </c>
      <c r="N304" s="1">
        <v>4</v>
      </c>
      <c r="O304" s="1">
        <v>47</v>
      </c>
      <c r="P304" s="1">
        <v>51</v>
      </c>
      <c r="Q304" s="1" t="str" cm="1">
        <f t="array" ref="Q304">_xlfn.IFS(dataset3[[#This Row],[Windspeed]]&lt;=0.1,"0.00 -0.10",dataset3[[#This Row],[Windspeed]]&lt;=0.2,"0.10-0.20",dataset3[[#This Row],[Windspeed]]&lt;=0.3,"0.20-0.30",dataset3[[#This Row],[Windspeed]]&lt;=0.4,"0.30-0.40",dataset3[[#This Row],[Windspeed]]&lt;=0.5,"0.40-0.50",dataset3[[#This Row],[Windspeed]]&lt;=0.6,"0.50-0.60")</f>
        <v>0.00 -0.10</v>
      </c>
      <c r="R304" s="1" t="str" cm="1">
        <f t="array" ref="R30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05" spans="1:18" x14ac:dyDescent="0.25">
      <c r="A305" s="1">
        <v>923</v>
      </c>
      <c r="B305" s="3">
        <v>40584</v>
      </c>
      <c r="C305" s="1">
        <v>1</v>
      </c>
      <c r="D305" s="1">
        <v>23</v>
      </c>
      <c r="E305" s="1" t="s">
        <v>27</v>
      </c>
      <c r="F305" s="1">
        <v>4</v>
      </c>
      <c r="G305" s="1">
        <v>1</v>
      </c>
      <c r="H305" s="1" t="str">
        <f t="shared" si="4"/>
        <v>Thursday</v>
      </c>
      <c r="I305" s="1" t="str" cm="1">
        <f t="array" ref="I305">_xlfn.IFS(dataset3[[#This Row],[Weather sit]]=1,"1 Clear",dataset3[[#This Row],[Weather sit]]=2,"2 Misty/Cloudy",dataset3[[#This Row],[Weather sit]]=3,"3 Light Snow/Rain",dataset3[[#This Row],[Weather sit]]=4,"4 Heavy Snow/Rain")</f>
        <v>1 Clear</v>
      </c>
      <c r="J305" s="7">
        <v>0.12</v>
      </c>
      <c r="K305" s="7">
        <v>0.1515</v>
      </c>
      <c r="L305" s="7">
        <v>0.42</v>
      </c>
      <c r="M305" s="7">
        <v>0.1045</v>
      </c>
      <c r="N305" s="1">
        <v>1</v>
      </c>
      <c r="O305" s="1">
        <v>33</v>
      </c>
      <c r="P305" s="1">
        <v>34</v>
      </c>
      <c r="Q305" s="1" t="str" cm="1">
        <f t="array" ref="Q305">_xlfn.IFS(dataset3[[#This Row],[Windspeed]]&lt;=0.1,"0.00 -0.10",dataset3[[#This Row],[Windspeed]]&lt;=0.2,"0.10-0.20",dataset3[[#This Row],[Windspeed]]&lt;=0.3,"0.20-0.30",dataset3[[#This Row],[Windspeed]]&lt;=0.4,"0.30-0.40",dataset3[[#This Row],[Windspeed]]&lt;=0.5,"0.40-0.50",dataset3[[#This Row],[Windspeed]]&lt;=0.6,"0.50-0.60")</f>
        <v>0.10-0.20</v>
      </c>
      <c r="R305" s="1" t="str" cm="1">
        <f t="array" ref="R30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306" spans="1:18" x14ac:dyDescent="0.25">
      <c r="A306" s="1">
        <v>924</v>
      </c>
      <c r="B306" s="3">
        <v>40585</v>
      </c>
      <c r="C306" s="1">
        <v>1</v>
      </c>
      <c r="D306" s="1">
        <v>0</v>
      </c>
      <c r="E306" s="1" t="s">
        <v>27</v>
      </c>
      <c r="F306" s="1">
        <v>5</v>
      </c>
      <c r="G306" s="1">
        <v>1</v>
      </c>
      <c r="H306" s="1" t="str">
        <f t="shared" si="4"/>
        <v>Friday</v>
      </c>
      <c r="I306" s="1" t="str" cm="1">
        <f t="array" ref="I306">_xlfn.IFS(dataset3[[#This Row],[Weather sit]]=1,"1 Clear",dataset3[[#This Row],[Weather sit]]=2,"2 Misty/Cloudy",dataset3[[#This Row],[Weather sit]]=3,"3 Light Snow/Rain",dataset3[[#This Row],[Weather sit]]=4,"4 Heavy Snow/Rain")</f>
        <v>1 Clear</v>
      </c>
      <c r="J306" s="7">
        <v>0.1</v>
      </c>
      <c r="K306" s="7">
        <v>0.13639999999999999</v>
      </c>
      <c r="L306" s="7">
        <v>0.49</v>
      </c>
      <c r="M306" s="7">
        <v>0.1045</v>
      </c>
      <c r="N306" s="1">
        <v>2</v>
      </c>
      <c r="O306" s="1">
        <v>12</v>
      </c>
      <c r="P306" s="1">
        <v>14</v>
      </c>
      <c r="Q306" s="1" t="str" cm="1">
        <f t="array" ref="Q306">_xlfn.IFS(dataset3[[#This Row],[Windspeed]]&lt;=0.1,"0.00 -0.10",dataset3[[#This Row],[Windspeed]]&lt;=0.2,"0.10-0.20",dataset3[[#This Row],[Windspeed]]&lt;=0.3,"0.20-0.30",dataset3[[#This Row],[Windspeed]]&lt;=0.4,"0.30-0.40",dataset3[[#This Row],[Windspeed]]&lt;=0.5,"0.40-0.50",dataset3[[#This Row],[Windspeed]]&lt;=0.6,"0.50-0.60")</f>
        <v>0.10-0.20</v>
      </c>
      <c r="R306" s="1" t="str" cm="1">
        <f t="array" ref="R30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307" spans="1:18" x14ac:dyDescent="0.25">
      <c r="A307" s="1">
        <v>925</v>
      </c>
      <c r="B307" s="3">
        <v>40585</v>
      </c>
      <c r="C307" s="1">
        <v>1</v>
      </c>
      <c r="D307" s="1">
        <v>1</v>
      </c>
      <c r="E307" s="1" t="s">
        <v>27</v>
      </c>
      <c r="F307" s="1">
        <v>5</v>
      </c>
      <c r="G307" s="1">
        <v>1</v>
      </c>
      <c r="H307" s="1" t="str">
        <f t="shared" si="4"/>
        <v>Friday</v>
      </c>
      <c r="I307" s="1" t="str" cm="1">
        <f t="array" ref="I307">_xlfn.IFS(dataset3[[#This Row],[Weather sit]]=1,"1 Clear",dataset3[[#This Row],[Weather sit]]=2,"2 Misty/Cloudy",dataset3[[#This Row],[Weather sit]]=3,"3 Light Snow/Rain",dataset3[[#This Row],[Weather sit]]=4,"4 Heavy Snow/Rain")</f>
        <v>1 Clear</v>
      </c>
      <c r="J307" s="7">
        <v>0.1</v>
      </c>
      <c r="K307" s="7">
        <v>0.13639999999999999</v>
      </c>
      <c r="L307" s="7">
        <v>0.54</v>
      </c>
      <c r="M307" s="7">
        <v>8.9599999999999999E-2</v>
      </c>
      <c r="N307" s="1">
        <v>1</v>
      </c>
      <c r="O307" s="1">
        <v>6</v>
      </c>
      <c r="P307" s="1">
        <v>7</v>
      </c>
      <c r="Q307" s="1" t="str" cm="1">
        <f t="array" ref="Q307">_xlfn.IFS(dataset3[[#This Row],[Windspeed]]&lt;=0.1,"0.00 -0.10",dataset3[[#This Row],[Windspeed]]&lt;=0.2,"0.10-0.20",dataset3[[#This Row],[Windspeed]]&lt;=0.3,"0.20-0.30",dataset3[[#This Row],[Windspeed]]&lt;=0.4,"0.30-0.40",dataset3[[#This Row],[Windspeed]]&lt;=0.5,"0.40-0.50",dataset3[[#This Row],[Windspeed]]&lt;=0.6,"0.50-0.60")</f>
        <v>0.00 -0.10</v>
      </c>
      <c r="R307" s="1" t="str" cm="1">
        <f t="array" ref="R30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308" spans="1:18" x14ac:dyDescent="0.25">
      <c r="A308" s="1">
        <v>926</v>
      </c>
      <c r="B308" s="3">
        <v>40585</v>
      </c>
      <c r="C308" s="1">
        <v>1</v>
      </c>
      <c r="D308" s="1">
        <v>2</v>
      </c>
      <c r="E308" s="1" t="s">
        <v>27</v>
      </c>
      <c r="F308" s="1">
        <v>5</v>
      </c>
      <c r="G308" s="1">
        <v>1</v>
      </c>
      <c r="H308" s="1" t="str">
        <f t="shared" si="4"/>
        <v>Friday</v>
      </c>
      <c r="I308" s="1" t="str" cm="1">
        <f t="array" ref="I308">_xlfn.IFS(dataset3[[#This Row],[Weather sit]]=1,"1 Clear",dataset3[[#This Row],[Weather sit]]=2,"2 Misty/Cloudy",dataset3[[#This Row],[Weather sit]]=3,"3 Light Snow/Rain",dataset3[[#This Row],[Weather sit]]=4,"4 Heavy Snow/Rain")</f>
        <v>1 Clear</v>
      </c>
      <c r="J308" s="7">
        <v>0.1</v>
      </c>
      <c r="K308" s="7">
        <v>0.13639999999999999</v>
      </c>
      <c r="L308" s="7">
        <v>0.54</v>
      </c>
      <c r="M308" s="7">
        <v>8.9599999999999999E-2</v>
      </c>
      <c r="N308" s="1">
        <v>0</v>
      </c>
      <c r="O308" s="1">
        <v>3</v>
      </c>
      <c r="P308" s="1">
        <v>3</v>
      </c>
      <c r="Q308" s="1" t="str" cm="1">
        <f t="array" ref="Q308">_xlfn.IFS(dataset3[[#This Row],[Windspeed]]&lt;=0.1,"0.00 -0.10",dataset3[[#This Row],[Windspeed]]&lt;=0.2,"0.10-0.20",dataset3[[#This Row],[Windspeed]]&lt;=0.3,"0.20-0.30",dataset3[[#This Row],[Windspeed]]&lt;=0.4,"0.30-0.40",dataset3[[#This Row],[Windspeed]]&lt;=0.5,"0.40-0.50",dataset3[[#This Row],[Windspeed]]&lt;=0.6,"0.50-0.60")</f>
        <v>0.00 -0.10</v>
      </c>
      <c r="R308" s="1" t="str" cm="1">
        <f t="array" ref="R30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309" spans="1:18" x14ac:dyDescent="0.25">
      <c r="A309" s="1">
        <v>927</v>
      </c>
      <c r="B309" s="3">
        <v>40585</v>
      </c>
      <c r="C309" s="1">
        <v>1</v>
      </c>
      <c r="D309" s="1">
        <v>5</v>
      </c>
      <c r="E309" s="1" t="s">
        <v>27</v>
      </c>
      <c r="F309" s="1">
        <v>5</v>
      </c>
      <c r="G309" s="1">
        <v>1</v>
      </c>
      <c r="H309" s="1" t="str">
        <f t="shared" si="4"/>
        <v>Friday</v>
      </c>
      <c r="I309" s="1" t="str" cm="1">
        <f t="array" ref="I309">_xlfn.IFS(dataset3[[#This Row],[Weather sit]]=1,"1 Clear",dataset3[[#This Row],[Weather sit]]=2,"2 Misty/Cloudy",dataset3[[#This Row],[Weather sit]]=3,"3 Light Snow/Rain",dataset3[[#This Row],[Weather sit]]=4,"4 Heavy Snow/Rain")</f>
        <v>1 Clear</v>
      </c>
      <c r="J309" s="7">
        <v>0.08</v>
      </c>
      <c r="K309" s="7">
        <v>0.1212</v>
      </c>
      <c r="L309" s="7">
        <v>0.63</v>
      </c>
      <c r="M309" s="7">
        <v>8.9599999999999999E-2</v>
      </c>
      <c r="N309" s="1">
        <v>0</v>
      </c>
      <c r="O309" s="1">
        <v>4</v>
      </c>
      <c r="P309" s="1">
        <v>4</v>
      </c>
      <c r="Q309" s="1" t="str" cm="1">
        <f t="array" ref="Q309">_xlfn.IFS(dataset3[[#This Row],[Windspeed]]&lt;=0.1,"0.00 -0.10",dataset3[[#This Row],[Windspeed]]&lt;=0.2,"0.10-0.20",dataset3[[#This Row],[Windspeed]]&lt;=0.3,"0.20-0.30",dataset3[[#This Row],[Windspeed]]&lt;=0.4,"0.30-0.40",dataset3[[#This Row],[Windspeed]]&lt;=0.5,"0.40-0.50",dataset3[[#This Row],[Windspeed]]&lt;=0.6,"0.50-0.60")</f>
        <v>0.00 -0.10</v>
      </c>
      <c r="R309" s="1" t="str" cm="1">
        <f t="array" ref="R30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10" spans="1:18" x14ac:dyDescent="0.25">
      <c r="A310" s="1">
        <v>928</v>
      </c>
      <c r="B310" s="3">
        <v>40585</v>
      </c>
      <c r="C310" s="1">
        <v>1</v>
      </c>
      <c r="D310" s="1">
        <v>6</v>
      </c>
      <c r="E310" s="1" t="s">
        <v>27</v>
      </c>
      <c r="F310" s="1">
        <v>5</v>
      </c>
      <c r="G310" s="1">
        <v>1</v>
      </c>
      <c r="H310" s="1" t="str">
        <f t="shared" si="4"/>
        <v>Friday</v>
      </c>
      <c r="I310" s="1" t="str" cm="1">
        <f t="array" ref="I310">_xlfn.IFS(dataset3[[#This Row],[Weather sit]]=1,"1 Clear",dataset3[[#This Row],[Weather sit]]=2,"2 Misty/Cloudy",dataset3[[#This Row],[Weather sit]]=3,"3 Light Snow/Rain",dataset3[[#This Row],[Weather sit]]=4,"4 Heavy Snow/Rain")</f>
        <v>1 Clear</v>
      </c>
      <c r="J310" s="7">
        <v>0.1</v>
      </c>
      <c r="K310" s="7">
        <v>0.18179999999999999</v>
      </c>
      <c r="L310" s="7">
        <v>0.68</v>
      </c>
      <c r="M310" s="7">
        <v>0</v>
      </c>
      <c r="N310" s="1">
        <v>1</v>
      </c>
      <c r="O310" s="1">
        <v>23</v>
      </c>
      <c r="P310" s="1">
        <v>24</v>
      </c>
      <c r="Q310" s="1" t="str" cm="1">
        <f t="array" ref="Q310">_xlfn.IFS(dataset3[[#This Row],[Windspeed]]&lt;=0.1,"0.00 -0.10",dataset3[[#This Row],[Windspeed]]&lt;=0.2,"0.10-0.20",dataset3[[#This Row],[Windspeed]]&lt;=0.3,"0.20-0.30",dataset3[[#This Row],[Windspeed]]&lt;=0.4,"0.30-0.40",dataset3[[#This Row],[Windspeed]]&lt;=0.5,"0.40-0.50",dataset3[[#This Row],[Windspeed]]&lt;=0.6,"0.50-0.60")</f>
        <v>0.00 -0.10</v>
      </c>
      <c r="R310" s="1" t="str" cm="1">
        <f t="array" ref="R31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11" spans="1:18" x14ac:dyDescent="0.25">
      <c r="A311" s="1">
        <v>929</v>
      </c>
      <c r="B311" s="3">
        <v>40585</v>
      </c>
      <c r="C311" s="1">
        <v>1</v>
      </c>
      <c r="D311" s="1">
        <v>7</v>
      </c>
      <c r="E311" s="1" t="s">
        <v>27</v>
      </c>
      <c r="F311" s="1">
        <v>5</v>
      </c>
      <c r="G311" s="1">
        <v>1</v>
      </c>
      <c r="H311" s="1" t="str">
        <f t="shared" si="4"/>
        <v>Friday</v>
      </c>
      <c r="I311" s="1" t="str" cm="1">
        <f t="array" ref="I311">_xlfn.IFS(dataset3[[#This Row],[Weather sit]]=1,"1 Clear",dataset3[[#This Row],[Weather sit]]=2,"2 Misty/Cloudy",dataset3[[#This Row],[Weather sit]]=3,"3 Light Snow/Rain",dataset3[[#This Row],[Weather sit]]=4,"4 Heavy Snow/Rain")</f>
        <v>1 Clear</v>
      </c>
      <c r="J311" s="7">
        <v>0.08</v>
      </c>
      <c r="K311" s="7">
        <v>0.16669999999999999</v>
      </c>
      <c r="L311" s="7">
        <v>0.73</v>
      </c>
      <c r="M311" s="7">
        <v>0</v>
      </c>
      <c r="N311" s="1">
        <v>1</v>
      </c>
      <c r="O311" s="1">
        <v>73</v>
      </c>
      <c r="P311" s="1">
        <v>74</v>
      </c>
      <c r="Q311" s="1" t="str" cm="1">
        <f t="array" ref="Q311">_xlfn.IFS(dataset3[[#This Row],[Windspeed]]&lt;=0.1,"0.00 -0.10",dataset3[[#This Row],[Windspeed]]&lt;=0.2,"0.10-0.20",dataset3[[#This Row],[Windspeed]]&lt;=0.3,"0.20-0.30",dataset3[[#This Row],[Windspeed]]&lt;=0.4,"0.30-0.40",dataset3[[#This Row],[Windspeed]]&lt;=0.5,"0.40-0.50",dataset3[[#This Row],[Windspeed]]&lt;=0.6,"0.50-0.60")</f>
        <v>0.00 -0.10</v>
      </c>
      <c r="R311" s="1" t="str" cm="1">
        <f t="array" ref="R31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12" spans="1:18" x14ac:dyDescent="0.25">
      <c r="A312" s="1">
        <v>930</v>
      </c>
      <c r="B312" s="3">
        <v>40585</v>
      </c>
      <c r="C312" s="1">
        <v>1</v>
      </c>
      <c r="D312" s="1">
        <v>8</v>
      </c>
      <c r="E312" s="1" t="s">
        <v>27</v>
      </c>
      <c r="F312" s="1">
        <v>5</v>
      </c>
      <c r="G312" s="1">
        <v>1</v>
      </c>
      <c r="H312" s="1" t="str">
        <f t="shared" si="4"/>
        <v>Friday</v>
      </c>
      <c r="I312" s="1" t="str" cm="1">
        <f t="array" ref="I312">_xlfn.IFS(dataset3[[#This Row],[Weather sit]]=1,"1 Clear",dataset3[[#This Row],[Weather sit]]=2,"2 Misty/Cloudy",dataset3[[#This Row],[Weather sit]]=3,"3 Light Snow/Rain",dataset3[[#This Row],[Weather sit]]=4,"4 Heavy Snow/Rain")</f>
        <v>1 Clear</v>
      </c>
      <c r="J312" s="7">
        <v>0.1</v>
      </c>
      <c r="K312" s="7">
        <v>0.1212</v>
      </c>
      <c r="L312" s="7">
        <v>0.74</v>
      </c>
      <c r="M312" s="7">
        <v>0.16420000000000001</v>
      </c>
      <c r="N312" s="1">
        <v>4</v>
      </c>
      <c r="O312" s="1">
        <v>212</v>
      </c>
      <c r="P312" s="1">
        <v>216</v>
      </c>
      <c r="Q312" s="1" t="str" cm="1">
        <f t="array" ref="Q312">_xlfn.IFS(dataset3[[#This Row],[Windspeed]]&lt;=0.1,"0.00 -0.10",dataset3[[#This Row],[Windspeed]]&lt;=0.2,"0.10-0.20",dataset3[[#This Row],[Windspeed]]&lt;=0.3,"0.20-0.30",dataset3[[#This Row],[Windspeed]]&lt;=0.4,"0.30-0.40",dataset3[[#This Row],[Windspeed]]&lt;=0.5,"0.40-0.50",dataset3[[#This Row],[Windspeed]]&lt;=0.6,"0.50-0.60")</f>
        <v>0.10-0.20</v>
      </c>
      <c r="R312" s="1" t="str" cm="1">
        <f t="array" ref="R31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13" spans="1:18" x14ac:dyDescent="0.25">
      <c r="A313" s="1">
        <v>931</v>
      </c>
      <c r="B313" s="3">
        <v>40585</v>
      </c>
      <c r="C313" s="1">
        <v>1</v>
      </c>
      <c r="D313" s="1">
        <v>9</v>
      </c>
      <c r="E313" s="1" t="s">
        <v>27</v>
      </c>
      <c r="F313" s="1">
        <v>5</v>
      </c>
      <c r="G313" s="1">
        <v>1</v>
      </c>
      <c r="H313" s="1" t="str">
        <f t="shared" si="4"/>
        <v>Friday</v>
      </c>
      <c r="I313" s="1" t="str" cm="1">
        <f t="array" ref="I313">_xlfn.IFS(dataset3[[#This Row],[Weather sit]]=1,"1 Clear",dataset3[[#This Row],[Weather sit]]=2,"2 Misty/Cloudy",dataset3[[#This Row],[Weather sit]]=3,"3 Light Snow/Rain",dataset3[[#This Row],[Weather sit]]=4,"4 Heavy Snow/Rain")</f>
        <v>1 Clear</v>
      </c>
      <c r="J313" s="7">
        <v>0.12</v>
      </c>
      <c r="K313" s="7">
        <v>0.1212</v>
      </c>
      <c r="L313" s="7">
        <v>0.74</v>
      </c>
      <c r="M313" s="7">
        <v>0.22389999999999999</v>
      </c>
      <c r="N313" s="1">
        <v>8</v>
      </c>
      <c r="O313" s="1">
        <v>132</v>
      </c>
      <c r="P313" s="1">
        <v>140</v>
      </c>
      <c r="Q313" s="1" t="str" cm="1">
        <f t="array" ref="Q313">_xlfn.IFS(dataset3[[#This Row],[Windspeed]]&lt;=0.1,"0.00 -0.10",dataset3[[#This Row],[Windspeed]]&lt;=0.2,"0.10-0.20",dataset3[[#This Row],[Windspeed]]&lt;=0.3,"0.20-0.30",dataset3[[#This Row],[Windspeed]]&lt;=0.4,"0.30-0.40",dataset3[[#This Row],[Windspeed]]&lt;=0.5,"0.40-0.50",dataset3[[#This Row],[Windspeed]]&lt;=0.6,"0.50-0.60")</f>
        <v>0.20-0.30</v>
      </c>
      <c r="R313" s="1" t="str" cm="1">
        <f t="array" ref="R31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14" spans="1:18" x14ac:dyDescent="0.25">
      <c r="A314" s="1">
        <v>932</v>
      </c>
      <c r="B314" s="3">
        <v>40585</v>
      </c>
      <c r="C314" s="1">
        <v>1</v>
      </c>
      <c r="D314" s="1">
        <v>10</v>
      </c>
      <c r="E314" s="1" t="s">
        <v>27</v>
      </c>
      <c r="F314" s="1">
        <v>5</v>
      </c>
      <c r="G314" s="1">
        <v>1</v>
      </c>
      <c r="H314" s="1" t="str">
        <f t="shared" si="4"/>
        <v>Friday</v>
      </c>
      <c r="I314" s="1" t="str" cm="1">
        <f t="array" ref="I314">_xlfn.IFS(dataset3[[#This Row],[Weather sit]]=1,"1 Clear",dataset3[[#This Row],[Weather sit]]=2,"2 Misty/Cloudy",dataset3[[#This Row],[Weather sit]]=3,"3 Light Snow/Rain",dataset3[[#This Row],[Weather sit]]=4,"4 Heavy Snow/Rain")</f>
        <v>1 Clear</v>
      </c>
      <c r="J314" s="7">
        <v>0.14000000000000001</v>
      </c>
      <c r="K314" s="7">
        <v>0.13639999999999999</v>
      </c>
      <c r="L314" s="7">
        <v>0.69</v>
      </c>
      <c r="M314" s="7">
        <v>0.19400000000000001</v>
      </c>
      <c r="N314" s="1">
        <v>5</v>
      </c>
      <c r="O314" s="1">
        <v>39</v>
      </c>
      <c r="P314" s="1">
        <v>44</v>
      </c>
      <c r="Q314" s="1" t="str" cm="1">
        <f t="array" ref="Q314">_xlfn.IFS(dataset3[[#This Row],[Windspeed]]&lt;=0.1,"0.00 -0.10",dataset3[[#This Row],[Windspeed]]&lt;=0.2,"0.10-0.20",dataset3[[#This Row],[Windspeed]]&lt;=0.3,"0.20-0.30",dataset3[[#This Row],[Windspeed]]&lt;=0.4,"0.30-0.40",dataset3[[#This Row],[Windspeed]]&lt;=0.5,"0.40-0.50",dataset3[[#This Row],[Windspeed]]&lt;=0.6,"0.50-0.60")</f>
        <v>0.10-0.20</v>
      </c>
      <c r="R314" s="1" t="str" cm="1">
        <f t="array" ref="R31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15" spans="1:18" x14ac:dyDescent="0.25">
      <c r="A315" s="1">
        <v>933</v>
      </c>
      <c r="B315" s="3">
        <v>40585</v>
      </c>
      <c r="C315" s="1">
        <v>1</v>
      </c>
      <c r="D315" s="1">
        <v>11</v>
      </c>
      <c r="E315" s="1" t="s">
        <v>27</v>
      </c>
      <c r="F315" s="1">
        <v>5</v>
      </c>
      <c r="G315" s="1">
        <v>1</v>
      </c>
      <c r="H315" s="1" t="str">
        <f t="shared" si="4"/>
        <v>Friday</v>
      </c>
      <c r="I315" s="1" t="str" cm="1">
        <f t="array" ref="I315">_xlfn.IFS(dataset3[[#This Row],[Weather sit]]=1,"1 Clear",dataset3[[#This Row],[Weather sit]]=2,"2 Misty/Cloudy",dataset3[[#This Row],[Weather sit]]=3,"3 Light Snow/Rain",dataset3[[#This Row],[Weather sit]]=4,"4 Heavy Snow/Rain")</f>
        <v>1 Clear</v>
      </c>
      <c r="J315" s="7">
        <v>0.22</v>
      </c>
      <c r="K315" s="7">
        <v>0.2273</v>
      </c>
      <c r="L315" s="7">
        <v>0.47</v>
      </c>
      <c r="M315" s="7">
        <v>0.1343</v>
      </c>
      <c r="N315" s="1">
        <v>12</v>
      </c>
      <c r="O315" s="1">
        <v>52</v>
      </c>
      <c r="P315" s="1">
        <v>64</v>
      </c>
      <c r="Q315" s="1" t="str" cm="1">
        <f t="array" ref="Q315">_xlfn.IFS(dataset3[[#This Row],[Windspeed]]&lt;=0.1,"0.00 -0.10",dataset3[[#This Row],[Windspeed]]&lt;=0.2,"0.10-0.20",dataset3[[#This Row],[Windspeed]]&lt;=0.3,"0.20-0.30",dataset3[[#This Row],[Windspeed]]&lt;=0.4,"0.30-0.40",dataset3[[#This Row],[Windspeed]]&lt;=0.5,"0.40-0.50",dataset3[[#This Row],[Windspeed]]&lt;=0.6,"0.50-0.60")</f>
        <v>0.10-0.20</v>
      </c>
      <c r="R315" s="1" t="str" cm="1">
        <f t="array" ref="R31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316" spans="1:18" x14ac:dyDescent="0.25">
      <c r="A316" s="1">
        <v>934</v>
      </c>
      <c r="B316" s="3">
        <v>40585</v>
      </c>
      <c r="C316" s="1">
        <v>1</v>
      </c>
      <c r="D316" s="1">
        <v>12</v>
      </c>
      <c r="E316" s="1" t="s">
        <v>27</v>
      </c>
      <c r="F316" s="1">
        <v>5</v>
      </c>
      <c r="G316" s="1">
        <v>1</v>
      </c>
      <c r="H316" s="1" t="str">
        <f t="shared" si="4"/>
        <v>Friday</v>
      </c>
      <c r="I316" s="1" t="str" cm="1">
        <f t="array" ref="I316">_xlfn.IFS(dataset3[[#This Row],[Weather sit]]=1,"1 Clear",dataset3[[#This Row],[Weather sit]]=2,"2 Misty/Cloudy",dataset3[[#This Row],[Weather sit]]=3,"3 Light Snow/Rain",dataset3[[#This Row],[Weather sit]]=4,"4 Heavy Snow/Rain")</f>
        <v>1 Clear</v>
      </c>
      <c r="J316" s="7">
        <v>0.22</v>
      </c>
      <c r="K316" s="7">
        <v>0.2273</v>
      </c>
      <c r="L316" s="7">
        <v>0.47</v>
      </c>
      <c r="M316" s="7">
        <v>0.1343</v>
      </c>
      <c r="N316" s="1">
        <v>7</v>
      </c>
      <c r="O316" s="1">
        <v>64</v>
      </c>
      <c r="P316" s="1">
        <v>71</v>
      </c>
      <c r="Q316" s="1" t="str" cm="1">
        <f t="array" ref="Q316">_xlfn.IFS(dataset3[[#This Row],[Windspeed]]&lt;=0.1,"0.00 -0.10",dataset3[[#This Row],[Windspeed]]&lt;=0.2,"0.10-0.20",dataset3[[#This Row],[Windspeed]]&lt;=0.3,"0.20-0.30",dataset3[[#This Row],[Windspeed]]&lt;=0.4,"0.30-0.40",dataset3[[#This Row],[Windspeed]]&lt;=0.5,"0.40-0.50",dataset3[[#This Row],[Windspeed]]&lt;=0.6,"0.50-0.60")</f>
        <v>0.10-0.20</v>
      </c>
      <c r="R316" s="1" t="str" cm="1">
        <f t="array" ref="R31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317" spans="1:18" x14ac:dyDescent="0.25">
      <c r="A317" s="1">
        <v>935</v>
      </c>
      <c r="B317" s="3">
        <v>40585</v>
      </c>
      <c r="C317" s="1">
        <v>1</v>
      </c>
      <c r="D317" s="1">
        <v>13</v>
      </c>
      <c r="E317" s="1" t="s">
        <v>27</v>
      </c>
      <c r="F317" s="1">
        <v>5</v>
      </c>
      <c r="G317" s="1">
        <v>1</v>
      </c>
      <c r="H317" s="1" t="str">
        <f t="shared" si="4"/>
        <v>Friday</v>
      </c>
      <c r="I317" s="1" t="str" cm="1">
        <f t="array" ref="I317">_xlfn.IFS(dataset3[[#This Row],[Weather sit]]=1,"1 Clear",dataset3[[#This Row],[Weather sit]]=2,"2 Misty/Cloudy",dataset3[[#This Row],[Weather sit]]=3,"3 Light Snow/Rain",dataset3[[#This Row],[Weather sit]]=4,"4 Heavy Snow/Rain")</f>
        <v>1 Clear</v>
      </c>
      <c r="J317" s="7">
        <v>0.24</v>
      </c>
      <c r="K317" s="7">
        <v>0.2273</v>
      </c>
      <c r="L317" s="7">
        <v>0.35</v>
      </c>
      <c r="M317" s="7">
        <v>0.19400000000000001</v>
      </c>
      <c r="N317" s="1">
        <v>21</v>
      </c>
      <c r="O317" s="1">
        <v>89</v>
      </c>
      <c r="P317" s="1">
        <v>110</v>
      </c>
      <c r="Q317" s="1" t="str" cm="1">
        <f t="array" ref="Q317">_xlfn.IFS(dataset3[[#This Row],[Windspeed]]&lt;=0.1,"0.00 -0.10",dataset3[[#This Row],[Windspeed]]&lt;=0.2,"0.10-0.20",dataset3[[#This Row],[Windspeed]]&lt;=0.3,"0.20-0.30",dataset3[[#This Row],[Windspeed]]&lt;=0.4,"0.30-0.40",dataset3[[#This Row],[Windspeed]]&lt;=0.5,"0.40-0.50",dataset3[[#This Row],[Windspeed]]&lt;=0.6,"0.50-0.60")</f>
        <v>0.10-0.20</v>
      </c>
      <c r="R317" s="1" t="str" cm="1">
        <f t="array" ref="R31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18" spans="1:18" x14ac:dyDescent="0.25">
      <c r="A318" s="1">
        <v>936</v>
      </c>
      <c r="B318" s="3">
        <v>40585</v>
      </c>
      <c r="C318" s="1">
        <v>1</v>
      </c>
      <c r="D318" s="1">
        <v>14</v>
      </c>
      <c r="E318" s="1" t="s">
        <v>27</v>
      </c>
      <c r="F318" s="1">
        <v>5</v>
      </c>
      <c r="G318" s="1">
        <v>1</v>
      </c>
      <c r="H318" s="1" t="str">
        <f t="shared" si="4"/>
        <v>Friday</v>
      </c>
      <c r="I318" s="1" t="str" cm="1">
        <f t="array" ref="I318">_xlfn.IFS(dataset3[[#This Row],[Weather sit]]=1,"1 Clear",dataset3[[#This Row],[Weather sit]]=2,"2 Misty/Cloudy",dataset3[[#This Row],[Weather sit]]=3,"3 Light Snow/Rain",dataset3[[#This Row],[Weather sit]]=4,"4 Heavy Snow/Rain")</f>
        <v>1 Clear</v>
      </c>
      <c r="J318" s="7">
        <v>0.3</v>
      </c>
      <c r="K318" s="7">
        <v>0.28789999999999999</v>
      </c>
      <c r="L318" s="7">
        <v>0.26</v>
      </c>
      <c r="M318" s="7">
        <v>0.25369999999999998</v>
      </c>
      <c r="N318" s="1">
        <v>17</v>
      </c>
      <c r="O318" s="1">
        <v>67</v>
      </c>
      <c r="P318" s="1">
        <v>84</v>
      </c>
      <c r="Q318" s="1" t="str" cm="1">
        <f t="array" ref="Q318">_xlfn.IFS(dataset3[[#This Row],[Windspeed]]&lt;=0.1,"0.00 -0.10",dataset3[[#This Row],[Windspeed]]&lt;=0.2,"0.10-0.20",dataset3[[#This Row],[Windspeed]]&lt;=0.3,"0.20-0.30",dataset3[[#This Row],[Windspeed]]&lt;=0.4,"0.30-0.40",dataset3[[#This Row],[Windspeed]]&lt;=0.5,"0.40-0.50",dataset3[[#This Row],[Windspeed]]&lt;=0.6,"0.50-0.60")</f>
        <v>0.20-0.30</v>
      </c>
      <c r="R318" s="1" t="str" cm="1">
        <f t="array" ref="R31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19" spans="1:18" x14ac:dyDescent="0.25">
      <c r="A319" s="1">
        <v>937</v>
      </c>
      <c r="B319" s="3">
        <v>40585</v>
      </c>
      <c r="C319" s="1">
        <v>1</v>
      </c>
      <c r="D319" s="1">
        <v>15</v>
      </c>
      <c r="E319" s="1" t="s">
        <v>27</v>
      </c>
      <c r="F319" s="1">
        <v>5</v>
      </c>
      <c r="G319" s="1">
        <v>1</v>
      </c>
      <c r="H319" s="1" t="str">
        <f t="shared" si="4"/>
        <v>Friday</v>
      </c>
      <c r="I319" s="1" t="str" cm="1">
        <f t="array" ref="I319">_xlfn.IFS(dataset3[[#This Row],[Weather sit]]=1,"1 Clear",dataset3[[#This Row],[Weather sit]]=2,"2 Misty/Cloudy",dataset3[[#This Row],[Weather sit]]=3,"3 Light Snow/Rain",dataset3[[#This Row],[Weather sit]]=4,"4 Heavy Snow/Rain")</f>
        <v>1 Clear</v>
      </c>
      <c r="J319" s="7">
        <v>0.32</v>
      </c>
      <c r="K319" s="7">
        <v>0.31819999999999998</v>
      </c>
      <c r="L319" s="7">
        <v>0.21</v>
      </c>
      <c r="M319" s="7">
        <v>0.16420000000000001</v>
      </c>
      <c r="N319" s="1">
        <v>12</v>
      </c>
      <c r="O319" s="1">
        <v>62</v>
      </c>
      <c r="P319" s="1">
        <v>74</v>
      </c>
      <c r="Q319" s="1" t="str" cm="1">
        <f t="array" ref="Q319">_xlfn.IFS(dataset3[[#This Row],[Windspeed]]&lt;=0.1,"0.00 -0.10",dataset3[[#This Row],[Windspeed]]&lt;=0.2,"0.10-0.20",dataset3[[#This Row],[Windspeed]]&lt;=0.3,"0.20-0.30",dataset3[[#This Row],[Windspeed]]&lt;=0.4,"0.30-0.40",dataset3[[#This Row],[Windspeed]]&lt;=0.5,"0.40-0.50",dataset3[[#This Row],[Windspeed]]&lt;=0.6,"0.50-0.60")</f>
        <v>0.10-0.20</v>
      </c>
      <c r="R319" s="1" t="str" cm="1">
        <f t="array" ref="R31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20" spans="1:18" x14ac:dyDescent="0.25">
      <c r="A320" s="1">
        <v>938</v>
      </c>
      <c r="B320" s="3">
        <v>40585</v>
      </c>
      <c r="C320" s="1">
        <v>1</v>
      </c>
      <c r="D320" s="1">
        <v>16</v>
      </c>
      <c r="E320" s="1" t="s">
        <v>27</v>
      </c>
      <c r="F320" s="1">
        <v>5</v>
      </c>
      <c r="G320" s="1">
        <v>1</v>
      </c>
      <c r="H320" s="1" t="str">
        <f t="shared" si="4"/>
        <v>Friday</v>
      </c>
      <c r="I320" s="1" t="str" cm="1">
        <f t="array" ref="I320">_xlfn.IFS(dataset3[[#This Row],[Weather sit]]=1,"1 Clear",dataset3[[#This Row],[Weather sit]]=2,"2 Misty/Cloudy",dataset3[[#This Row],[Weather sit]]=3,"3 Light Snow/Rain",dataset3[[#This Row],[Weather sit]]=4,"4 Heavy Snow/Rain")</f>
        <v>1 Clear</v>
      </c>
      <c r="J320" s="7">
        <v>0.3</v>
      </c>
      <c r="K320" s="7">
        <v>0.28789999999999999</v>
      </c>
      <c r="L320" s="7">
        <v>0.28000000000000003</v>
      </c>
      <c r="M320" s="7">
        <v>0.19400000000000001</v>
      </c>
      <c r="N320" s="1">
        <v>14</v>
      </c>
      <c r="O320" s="1">
        <v>111</v>
      </c>
      <c r="P320" s="1">
        <v>125</v>
      </c>
      <c r="Q320" s="1" t="str" cm="1">
        <f t="array" ref="Q320">_xlfn.IFS(dataset3[[#This Row],[Windspeed]]&lt;=0.1,"0.00 -0.10",dataset3[[#This Row],[Windspeed]]&lt;=0.2,"0.10-0.20",dataset3[[#This Row],[Windspeed]]&lt;=0.3,"0.20-0.30",dataset3[[#This Row],[Windspeed]]&lt;=0.4,"0.30-0.40",dataset3[[#This Row],[Windspeed]]&lt;=0.5,"0.40-0.50",dataset3[[#This Row],[Windspeed]]&lt;=0.6,"0.50-0.60")</f>
        <v>0.10-0.20</v>
      </c>
      <c r="R320" s="1" t="str" cm="1">
        <f t="array" ref="R32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21" spans="1:18" x14ac:dyDescent="0.25">
      <c r="A321" s="1">
        <v>939</v>
      </c>
      <c r="B321" s="3">
        <v>40585</v>
      </c>
      <c r="C321" s="1">
        <v>1</v>
      </c>
      <c r="D321" s="1">
        <v>17</v>
      </c>
      <c r="E321" s="1" t="s">
        <v>27</v>
      </c>
      <c r="F321" s="1">
        <v>5</v>
      </c>
      <c r="G321" s="1">
        <v>1</v>
      </c>
      <c r="H321" s="1" t="str">
        <f t="shared" si="4"/>
        <v>Friday</v>
      </c>
      <c r="I321" s="1" t="str" cm="1">
        <f t="array" ref="I321">_xlfn.IFS(dataset3[[#This Row],[Weather sit]]=1,"1 Clear",dataset3[[#This Row],[Weather sit]]=2,"2 Misty/Cloudy",dataset3[[#This Row],[Weather sit]]=3,"3 Light Snow/Rain",dataset3[[#This Row],[Weather sit]]=4,"4 Heavy Snow/Rain")</f>
        <v>1 Clear</v>
      </c>
      <c r="J321" s="7">
        <v>0.3</v>
      </c>
      <c r="K321" s="7">
        <v>0.33329999999999999</v>
      </c>
      <c r="L321" s="7">
        <v>0.24</v>
      </c>
      <c r="M321" s="7">
        <v>0</v>
      </c>
      <c r="N321" s="1">
        <v>18</v>
      </c>
      <c r="O321" s="1">
        <v>193</v>
      </c>
      <c r="P321" s="1">
        <v>211</v>
      </c>
      <c r="Q321" s="1" t="str" cm="1">
        <f t="array" ref="Q321">_xlfn.IFS(dataset3[[#This Row],[Windspeed]]&lt;=0.1,"0.00 -0.10",dataset3[[#This Row],[Windspeed]]&lt;=0.2,"0.10-0.20",dataset3[[#This Row],[Windspeed]]&lt;=0.3,"0.20-0.30",dataset3[[#This Row],[Windspeed]]&lt;=0.4,"0.30-0.40",dataset3[[#This Row],[Windspeed]]&lt;=0.5,"0.40-0.50",dataset3[[#This Row],[Windspeed]]&lt;=0.6,"0.50-0.60")</f>
        <v>0.00 -0.10</v>
      </c>
      <c r="R321" s="1" t="str" cm="1">
        <f t="array" ref="R32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22" spans="1:18" x14ac:dyDescent="0.25">
      <c r="A322" s="1">
        <v>940</v>
      </c>
      <c r="B322" s="3">
        <v>40585</v>
      </c>
      <c r="C322" s="1">
        <v>1</v>
      </c>
      <c r="D322" s="1">
        <v>18</v>
      </c>
      <c r="E322" s="1" t="s">
        <v>27</v>
      </c>
      <c r="F322" s="1">
        <v>5</v>
      </c>
      <c r="G322" s="1">
        <v>1</v>
      </c>
      <c r="H322" s="1" t="str">
        <f t="shared" ref="H322:H385" si="5">TEXT(B322,"dddd")</f>
        <v>Friday</v>
      </c>
      <c r="I322" s="1" t="str" cm="1">
        <f t="array" ref="I322">_xlfn.IFS(dataset3[[#This Row],[Weather sit]]=1,"1 Clear",dataset3[[#This Row],[Weather sit]]=2,"2 Misty/Cloudy",dataset3[[#This Row],[Weather sit]]=3,"3 Light Snow/Rain",dataset3[[#This Row],[Weather sit]]=4,"4 Heavy Snow/Rain")</f>
        <v>1 Clear</v>
      </c>
      <c r="J322" s="7">
        <v>0.28000000000000003</v>
      </c>
      <c r="K322" s="7">
        <v>0.31819999999999998</v>
      </c>
      <c r="L322" s="7">
        <v>0.28000000000000003</v>
      </c>
      <c r="M322" s="7">
        <v>0</v>
      </c>
      <c r="N322" s="1">
        <v>9</v>
      </c>
      <c r="O322" s="1">
        <v>165</v>
      </c>
      <c r="P322" s="1">
        <v>174</v>
      </c>
      <c r="Q322" s="1" t="str" cm="1">
        <f t="array" ref="Q322">_xlfn.IFS(dataset3[[#This Row],[Windspeed]]&lt;=0.1,"0.00 -0.10",dataset3[[#This Row],[Windspeed]]&lt;=0.2,"0.10-0.20",dataset3[[#This Row],[Windspeed]]&lt;=0.3,"0.20-0.30",dataset3[[#This Row],[Windspeed]]&lt;=0.4,"0.30-0.40",dataset3[[#This Row],[Windspeed]]&lt;=0.5,"0.40-0.50",dataset3[[#This Row],[Windspeed]]&lt;=0.6,"0.50-0.60")</f>
        <v>0.00 -0.10</v>
      </c>
      <c r="R322" s="1" t="str" cm="1">
        <f t="array" ref="R32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23" spans="1:18" x14ac:dyDescent="0.25">
      <c r="A323" s="1">
        <v>941</v>
      </c>
      <c r="B323" s="3">
        <v>40585</v>
      </c>
      <c r="C323" s="1">
        <v>1</v>
      </c>
      <c r="D323" s="1">
        <v>19</v>
      </c>
      <c r="E323" s="1" t="s">
        <v>27</v>
      </c>
      <c r="F323" s="1">
        <v>5</v>
      </c>
      <c r="G323" s="1">
        <v>1</v>
      </c>
      <c r="H323" s="1" t="str">
        <f t="shared" si="5"/>
        <v>Friday</v>
      </c>
      <c r="I323" s="1" t="str" cm="1">
        <f t="array" ref="I323">_xlfn.IFS(dataset3[[#This Row],[Weather sit]]=1,"1 Clear",dataset3[[#This Row],[Weather sit]]=2,"2 Misty/Cloudy",dataset3[[#This Row],[Weather sit]]=3,"3 Light Snow/Rain",dataset3[[#This Row],[Weather sit]]=4,"4 Heavy Snow/Rain")</f>
        <v>1 Clear</v>
      </c>
      <c r="J323" s="7">
        <v>0.26</v>
      </c>
      <c r="K323" s="7">
        <v>0.30299999999999999</v>
      </c>
      <c r="L323" s="7">
        <v>0.33</v>
      </c>
      <c r="M323" s="7">
        <v>0</v>
      </c>
      <c r="N323" s="1">
        <v>7</v>
      </c>
      <c r="O323" s="1">
        <v>94</v>
      </c>
      <c r="P323" s="1">
        <v>101</v>
      </c>
      <c r="Q323" s="1" t="str" cm="1">
        <f t="array" ref="Q323">_xlfn.IFS(dataset3[[#This Row],[Windspeed]]&lt;=0.1,"0.00 -0.10",dataset3[[#This Row],[Windspeed]]&lt;=0.2,"0.10-0.20",dataset3[[#This Row],[Windspeed]]&lt;=0.3,"0.20-0.30",dataset3[[#This Row],[Windspeed]]&lt;=0.4,"0.30-0.40",dataset3[[#This Row],[Windspeed]]&lt;=0.5,"0.40-0.50",dataset3[[#This Row],[Windspeed]]&lt;=0.6,"0.50-0.60")</f>
        <v>0.00 -0.10</v>
      </c>
      <c r="R323" s="1" t="str" cm="1">
        <f t="array" ref="R32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24" spans="1:18" x14ac:dyDescent="0.25">
      <c r="A324" s="1">
        <v>942</v>
      </c>
      <c r="B324" s="3">
        <v>40585</v>
      </c>
      <c r="C324" s="1">
        <v>1</v>
      </c>
      <c r="D324" s="1">
        <v>20</v>
      </c>
      <c r="E324" s="1" t="s">
        <v>27</v>
      </c>
      <c r="F324" s="1">
        <v>5</v>
      </c>
      <c r="G324" s="1">
        <v>1</v>
      </c>
      <c r="H324" s="1" t="str">
        <f t="shared" si="5"/>
        <v>Friday</v>
      </c>
      <c r="I324" s="1" t="str" cm="1">
        <f t="array" ref="I324">_xlfn.IFS(dataset3[[#This Row],[Weather sit]]=1,"1 Clear",dataset3[[#This Row],[Weather sit]]=2,"2 Misty/Cloudy",dataset3[[#This Row],[Weather sit]]=3,"3 Light Snow/Rain",dataset3[[#This Row],[Weather sit]]=4,"4 Heavy Snow/Rain")</f>
        <v>1 Clear</v>
      </c>
      <c r="J324" s="7">
        <v>0.22</v>
      </c>
      <c r="K324" s="7">
        <v>0.2273</v>
      </c>
      <c r="L324" s="7">
        <v>0.55000000000000004</v>
      </c>
      <c r="M324" s="7">
        <v>0.1343</v>
      </c>
      <c r="N324" s="1">
        <v>2</v>
      </c>
      <c r="O324" s="1">
        <v>61</v>
      </c>
      <c r="P324" s="1">
        <v>63</v>
      </c>
      <c r="Q324" s="1" t="str" cm="1">
        <f t="array" ref="Q324">_xlfn.IFS(dataset3[[#This Row],[Windspeed]]&lt;=0.1,"0.00 -0.10",dataset3[[#This Row],[Windspeed]]&lt;=0.2,"0.10-0.20",dataset3[[#This Row],[Windspeed]]&lt;=0.3,"0.20-0.30",dataset3[[#This Row],[Windspeed]]&lt;=0.4,"0.30-0.40",dataset3[[#This Row],[Windspeed]]&lt;=0.5,"0.40-0.50",dataset3[[#This Row],[Windspeed]]&lt;=0.6,"0.50-0.60")</f>
        <v>0.10-0.20</v>
      </c>
      <c r="R324" s="1" t="str" cm="1">
        <f t="array" ref="R32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325" spans="1:18" x14ac:dyDescent="0.25">
      <c r="A325" s="1">
        <v>943</v>
      </c>
      <c r="B325" s="3">
        <v>40585</v>
      </c>
      <c r="C325" s="1">
        <v>1</v>
      </c>
      <c r="D325" s="1">
        <v>21</v>
      </c>
      <c r="E325" s="1" t="s">
        <v>27</v>
      </c>
      <c r="F325" s="1">
        <v>5</v>
      </c>
      <c r="G325" s="1">
        <v>1</v>
      </c>
      <c r="H325" s="1" t="str">
        <f t="shared" si="5"/>
        <v>Friday</v>
      </c>
      <c r="I325" s="1" t="str" cm="1">
        <f t="array" ref="I325">_xlfn.IFS(dataset3[[#This Row],[Weather sit]]=1,"1 Clear",dataset3[[#This Row],[Weather sit]]=2,"2 Misty/Cloudy",dataset3[[#This Row],[Weather sit]]=3,"3 Light Snow/Rain",dataset3[[#This Row],[Weather sit]]=4,"4 Heavy Snow/Rain")</f>
        <v>1 Clear</v>
      </c>
      <c r="J325" s="7">
        <v>0.2</v>
      </c>
      <c r="K325" s="7">
        <v>0.21210000000000001</v>
      </c>
      <c r="L325" s="7">
        <v>0.59</v>
      </c>
      <c r="M325" s="7">
        <v>0.1343</v>
      </c>
      <c r="N325" s="1">
        <v>1</v>
      </c>
      <c r="O325" s="1">
        <v>46</v>
      </c>
      <c r="P325" s="1">
        <v>47</v>
      </c>
      <c r="Q325" s="1" t="str" cm="1">
        <f t="array" ref="Q325">_xlfn.IFS(dataset3[[#This Row],[Windspeed]]&lt;=0.1,"0.00 -0.10",dataset3[[#This Row],[Windspeed]]&lt;=0.2,"0.10-0.20",dataset3[[#This Row],[Windspeed]]&lt;=0.3,"0.20-0.30",dataset3[[#This Row],[Windspeed]]&lt;=0.4,"0.30-0.40",dataset3[[#This Row],[Windspeed]]&lt;=0.5,"0.40-0.50",dataset3[[#This Row],[Windspeed]]&lt;=0.6,"0.50-0.60")</f>
        <v>0.10-0.20</v>
      </c>
      <c r="R325" s="1" t="str" cm="1">
        <f t="array" ref="R32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326" spans="1:18" x14ac:dyDescent="0.25">
      <c r="A326" s="1">
        <v>944</v>
      </c>
      <c r="B326" s="3">
        <v>40585</v>
      </c>
      <c r="C326" s="1">
        <v>1</v>
      </c>
      <c r="D326" s="1">
        <v>22</v>
      </c>
      <c r="E326" s="1" t="s">
        <v>27</v>
      </c>
      <c r="F326" s="1">
        <v>5</v>
      </c>
      <c r="G326" s="1">
        <v>1</v>
      </c>
      <c r="H326" s="1" t="str">
        <f t="shared" si="5"/>
        <v>Friday</v>
      </c>
      <c r="I326" s="1" t="str" cm="1">
        <f t="array" ref="I326">_xlfn.IFS(dataset3[[#This Row],[Weather sit]]=1,"1 Clear",dataset3[[#This Row],[Weather sit]]=2,"2 Misty/Cloudy",dataset3[[#This Row],[Weather sit]]=3,"3 Light Snow/Rain",dataset3[[#This Row],[Weather sit]]=4,"4 Heavy Snow/Rain")</f>
        <v>1 Clear</v>
      </c>
      <c r="J326" s="7">
        <v>0.2</v>
      </c>
      <c r="K326" s="7">
        <v>0.2273</v>
      </c>
      <c r="L326" s="7">
        <v>0.64</v>
      </c>
      <c r="M326" s="7">
        <v>8.9599999999999999E-2</v>
      </c>
      <c r="N326" s="1">
        <v>2</v>
      </c>
      <c r="O326" s="1">
        <v>41</v>
      </c>
      <c r="P326" s="1">
        <v>43</v>
      </c>
      <c r="Q326" s="1" t="str" cm="1">
        <f t="array" ref="Q326">_xlfn.IFS(dataset3[[#This Row],[Windspeed]]&lt;=0.1,"0.00 -0.10",dataset3[[#This Row],[Windspeed]]&lt;=0.2,"0.10-0.20",dataset3[[#This Row],[Windspeed]]&lt;=0.3,"0.20-0.30",dataset3[[#This Row],[Windspeed]]&lt;=0.4,"0.30-0.40",dataset3[[#This Row],[Windspeed]]&lt;=0.5,"0.40-0.50",dataset3[[#This Row],[Windspeed]]&lt;=0.6,"0.50-0.60")</f>
        <v>0.00 -0.10</v>
      </c>
      <c r="R326" s="1" t="str" cm="1">
        <f t="array" ref="R32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27" spans="1:18" x14ac:dyDescent="0.25">
      <c r="A327" s="1">
        <v>945</v>
      </c>
      <c r="B327" s="3">
        <v>40585</v>
      </c>
      <c r="C327" s="1">
        <v>1</v>
      </c>
      <c r="D327" s="1">
        <v>23</v>
      </c>
      <c r="E327" s="1" t="s">
        <v>27</v>
      </c>
      <c r="F327" s="1">
        <v>5</v>
      </c>
      <c r="G327" s="1">
        <v>1</v>
      </c>
      <c r="H327" s="1" t="str">
        <f t="shared" si="5"/>
        <v>Friday</v>
      </c>
      <c r="I327" s="1" t="str" cm="1">
        <f t="array" ref="I327">_xlfn.IFS(dataset3[[#This Row],[Weather sit]]=1,"1 Clear",dataset3[[#This Row],[Weather sit]]=2,"2 Misty/Cloudy",dataset3[[#This Row],[Weather sit]]=3,"3 Light Snow/Rain",dataset3[[#This Row],[Weather sit]]=4,"4 Heavy Snow/Rain")</f>
        <v>1 Clear</v>
      </c>
      <c r="J327" s="7">
        <v>0.18</v>
      </c>
      <c r="K327" s="7">
        <v>0.2424</v>
      </c>
      <c r="L327" s="7">
        <v>0.69</v>
      </c>
      <c r="M327" s="7">
        <v>0</v>
      </c>
      <c r="N327" s="1">
        <v>5</v>
      </c>
      <c r="O327" s="1">
        <v>48</v>
      </c>
      <c r="P327" s="1">
        <v>53</v>
      </c>
      <c r="Q327" s="1" t="str" cm="1">
        <f t="array" ref="Q327">_xlfn.IFS(dataset3[[#This Row],[Windspeed]]&lt;=0.1,"0.00 -0.10",dataset3[[#This Row],[Windspeed]]&lt;=0.2,"0.10-0.20",dataset3[[#This Row],[Windspeed]]&lt;=0.3,"0.20-0.30",dataset3[[#This Row],[Windspeed]]&lt;=0.4,"0.30-0.40",dataset3[[#This Row],[Windspeed]]&lt;=0.5,"0.40-0.50",dataset3[[#This Row],[Windspeed]]&lt;=0.6,"0.50-0.60")</f>
        <v>0.00 -0.10</v>
      </c>
      <c r="R327" s="1" t="str" cm="1">
        <f t="array" ref="R32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28" spans="1:18" x14ac:dyDescent="0.25">
      <c r="A328" s="1">
        <v>946</v>
      </c>
      <c r="B328" s="3">
        <v>40586</v>
      </c>
      <c r="C328" s="1">
        <v>1</v>
      </c>
      <c r="D328" s="1">
        <v>0</v>
      </c>
      <c r="E328" s="1" t="s">
        <v>27</v>
      </c>
      <c r="F328" s="1">
        <v>6</v>
      </c>
      <c r="G328" s="1">
        <v>1</v>
      </c>
      <c r="H328" s="1" t="str">
        <f t="shared" si="5"/>
        <v>Saturday</v>
      </c>
      <c r="I328" s="1" t="str" cm="1">
        <f t="array" ref="I328">_xlfn.IFS(dataset3[[#This Row],[Weather sit]]=1,"1 Clear",dataset3[[#This Row],[Weather sit]]=2,"2 Misty/Cloudy",dataset3[[#This Row],[Weather sit]]=3,"3 Light Snow/Rain",dataset3[[#This Row],[Weather sit]]=4,"4 Heavy Snow/Rain")</f>
        <v>1 Clear</v>
      </c>
      <c r="J328" s="7">
        <v>0.16</v>
      </c>
      <c r="K328" s="7">
        <v>0.19700000000000001</v>
      </c>
      <c r="L328" s="7">
        <v>0.69</v>
      </c>
      <c r="M328" s="7">
        <v>8.9599999999999999E-2</v>
      </c>
      <c r="N328" s="1">
        <v>3</v>
      </c>
      <c r="O328" s="1">
        <v>27</v>
      </c>
      <c r="P328" s="1">
        <v>30</v>
      </c>
      <c r="Q328" s="1" t="str" cm="1">
        <f t="array" ref="Q328">_xlfn.IFS(dataset3[[#This Row],[Windspeed]]&lt;=0.1,"0.00 -0.10",dataset3[[#This Row],[Windspeed]]&lt;=0.2,"0.10-0.20",dataset3[[#This Row],[Windspeed]]&lt;=0.3,"0.20-0.30",dataset3[[#This Row],[Windspeed]]&lt;=0.4,"0.30-0.40",dataset3[[#This Row],[Windspeed]]&lt;=0.5,"0.40-0.50",dataset3[[#This Row],[Windspeed]]&lt;=0.6,"0.50-0.60")</f>
        <v>0.00 -0.10</v>
      </c>
      <c r="R328" s="1" t="str" cm="1">
        <f t="array" ref="R32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29" spans="1:18" x14ac:dyDescent="0.25">
      <c r="A329" s="1">
        <v>947</v>
      </c>
      <c r="B329" s="3">
        <v>40586</v>
      </c>
      <c r="C329" s="1">
        <v>1</v>
      </c>
      <c r="D329" s="1">
        <v>1</v>
      </c>
      <c r="E329" s="1" t="s">
        <v>27</v>
      </c>
      <c r="F329" s="1">
        <v>6</v>
      </c>
      <c r="G329" s="1">
        <v>1</v>
      </c>
      <c r="H329" s="1" t="str">
        <f t="shared" si="5"/>
        <v>Saturday</v>
      </c>
      <c r="I329" s="1" t="str" cm="1">
        <f t="array" ref="I329">_xlfn.IFS(dataset3[[#This Row],[Weather sit]]=1,"1 Clear",dataset3[[#This Row],[Weather sit]]=2,"2 Misty/Cloudy",dataset3[[#This Row],[Weather sit]]=3,"3 Light Snow/Rain",dataset3[[#This Row],[Weather sit]]=4,"4 Heavy Snow/Rain")</f>
        <v>1 Clear</v>
      </c>
      <c r="J329" s="7">
        <v>0.14000000000000001</v>
      </c>
      <c r="K329" s="7">
        <v>0.21210000000000001</v>
      </c>
      <c r="L329" s="7">
        <v>0.86</v>
      </c>
      <c r="M329" s="7">
        <v>0</v>
      </c>
      <c r="N329" s="1">
        <v>2</v>
      </c>
      <c r="O329" s="1">
        <v>22</v>
      </c>
      <c r="P329" s="1">
        <v>24</v>
      </c>
      <c r="Q329" s="1" t="str" cm="1">
        <f t="array" ref="Q329">_xlfn.IFS(dataset3[[#This Row],[Windspeed]]&lt;=0.1,"0.00 -0.10",dataset3[[#This Row],[Windspeed]]&lt;=0.2,"0.10-0.20",dataset3[[#This Row],[Windspeed]]&lt;=0.3,"0.20-0.30",dataset3[[#This Row],[Windspeed]]&lt;=0.4,"0.30-0.40",dataset3[[#This Row],[Windspeed]]&lt;=0.5,"0.40-0.50",dataset3[[#This Row],[Windspeed]]&lt;=0.6,"0.50-0.60")</f>
        <v>0.00 -0.10</v>
      </c>
      <c r="R329" s="1" t="str" cm="1">
        <f t="array" ref="R32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330" spans="1:18" x14ac:dyDescent="0.25">
      <c r="A330" s="1">
        <v>948</v>
      </c>
      <c r="B330" s="3">
        <v>40586</v>
      </c>
      <c r="C330" s="1">
        <v>1</v>
      </c>
      <c r="D330" s="1">
        <v>2</v>
      </c>
      <c r="E330" s="1" t="s">
        <v>27</v>
      </c>
      <c r="F330" s="1">
        <v>6</v>
      </c>
      <c r="G330" s="1">
        <v>1</v>
      </c>
      <c r="H330" s="1" t="str">
        <f t="shared" si="5"/>
        <v>Saturday</v>
      </c>
      <c r="I330" s="1" t="str" cm="1">
        <f t="array" ref="I330">_xlfn.IFS(dataset3[[#This Row],[Weather sit]]=1,"1 Clear",dataset3[[#This Row],[Weather sit]]=2,"2 Misty/Cloudy",dataset3[[#This Row],[Weather sit]]=3,"3 Light Snow/Rain",dataset3[[#This Row],[Weather sit]]=4,"4 Heavy Snow/Rain")</f>
        <v>1 Clear</v>
      </c>
      <c r="J330" s="7">
        <v>0.14000000000000001</v>
      </c>
      <c r="K330" s="7">
        <v>0.21210000000000001</v>
      </c>
      <c r="L330" s="7">
        <v>0.8</v>
      </c>
      <c r="M330" s="7">
        <v>0</v>
      </c>
      <c r="N330" s="1">
        <v>2</v>
      </c>
      <c r="O330" s="1">
        <v>13</v>
      </c>
      <c r="P330" s="1">
        <v>15</v>
      </c>
      <c r="Q330" s="1" t="str" cm="1">
        <f t="array" ref="Q330">_xlfn.IFS(dataset3[[#This Row],[Windspeed]]&lt;=0.1,"0.00 -0.10",dataset3[[#This Row],[Windspeed]]&lt;=0.2,"0.10-0.20",dataset3[[#This Row],[Windspeed]]&lt;=0.3,"0.20-0.30",dataset3[[#This Row],[Windspeed]]&lt;=0.4,"0.30-0.40",dataset3[[#This Row],[Windspeed]]&lt;=0.5,"0.40-0.50",dataset3[[#This Row],[Windspeed]]&lt;=0.6,"0.50-0.60")</f>
        <v>0.00 -0.10</v>
      </c>
      <c r="R330" s="1" t="str" cm="1">
        <f t="array" ref="R33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31" spans="1:18" x14ac:dyDescent="0.25">
      <c r="A331" s="1">
        <v>949</v>
      </c>
      <c r="B331" s="3">
        <v>40586</v>
      </c>
      <c r="C331" s="1">
        <v>1</v>
      </c>
      <c r="D331" s="1">
        <v>3</v>
      </c>
      <c r="E331" s="1" t="s">
        <v>27</v>
      </c>
      <c r="F331" s="1">
        <v>6</v>
      </c>
      <c r="G331" s="1">
        <v>1</v>
      </c>
      <c r="H331" s="1" t="str">
        <f t="shared" si="5"/>
        <v>Saturday</v>
      </c>
      <c r="I331" s="1" t="str" cm="1">
        <f t="array" ref="I331">_xlfn.IFS(dataset3[[#This Row],[Weather sit]]=1,"1 Clear",dataset3[[#This Row],[Weather sit]]=2,"2 Misty/Cloudy",dataset3[[#This Row],[Weather sit]]=3,"3 Light Snow/Rain",dataset3[[#This Row],[Weather sit]]=4,"4 Heavy Snow/Rain")</f>
        <v>1 Clear</v>
      </c>
      <c r="J331" s="7">
        <v>0.12</v>
      </c>
      <c r="K331" s="7">
        <v>0.19700000000000001</v>
      </c>
      <c r="L331" s="7">
        <v>0.8</v>
      </c>
      <c r="M331" s="7">
        <v>0</v>
      </c>
      <c r="N331" s="1">
        <v>3</v>
      </c>
      <c r="O331" s="1">
        <v>7</v>
      </c>
      <c r="P331" s="1">
        <v>10</v>
      </c>
      <c r="Q331" s="1" t="str" cm="1">
        <f t="array" ref="Q331">_xlfn.IFS(dataset3[[#This Row],[Windspeed]]&lt;=0.1,"0.00 -0.10",dataset3[[#This Row],[Windspeed]]&lt;=0.2,"0.10-0.20",dataset3[[#This Row],[Windspeed]]&lt;=0.3,"0.20-0.30",dataset3[[#This Row],[Windspeed]]&lt;=0.4,"0.30-0.40",dataset3[[#This Row],[Windspeed]]&lt;=0.5,"0.40-0.50",dataset3[[#This Row],[Windspeed]]&lt;=0.6,"0.50-0.60")</f>
        <v>0.00 -0.10</v>
      </c>
      <c r="R331" s="1" t="str" cm="1">
        <f t="array" ref="R33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32" spans="1:18" x14ac:dyDescent="0.25">
      <c r="A332" s="1">
        <v>950</v>
      </c>
      <c r="B332" s="3">
        <v>40586</v>
      </c>
      <c r="C332" s="1">
        <v>1</v>
      </c>
      <c r="D332" s="1">
        <v>4</v>
      </c>
      <c r="E332" s="1" t="s">
        <v>27</v>
      </c>
      <c r="F332" s="1">
        <v>6</v>
      </c>
      <c r="G332" s="1">
        <v>1</v>
      </c>
      <c r="H332" s="1" t="str">
        <f t="shared" si="5"/>
        <v>Saturday</v>
      </c>
      <c r="I332" s="1" t="str" cm="1">
        <f t="array" ref="I332">_xlfn.IFS(dataset3[[#This Row],[Weather sit]]=1,"1 Clear",dataset3[[#This Row],[Weather sit]]=2,"2 Misty/Cloudy",dataset3[[#This Row],[Weather sit]]=3,"3 Light Snow/Rain",dataset3[[#This Row],[Weather sit]]=4,"4 Heavy Snow/Rain")</f>
        <v>1 Clear</v>
      </c>
      <c r="J332" s="7">
        <v>0.12</v>
      </c>
      <c r="K332" s="7">
        <v>0.16669999999999999</v>
      </c>
      <c r="L332" s="7">
        <v>0.74</v>
      </c>
      <c r="M332" s="7">
        <v>8.9599999999999999E-2</v>
      </c>
      <c r="N332" s="1">
        <v>0</v>
      </c>
      <c r="O332" s="1">
        <v>4</v>
      </c>
      <c r="P332" s="1">
        <v>4</v>
      </c>
      <c r="Q332" s="1" t="str" cm="1">
        <f t="array" ref="Q332">_xlfn.IFS(dataset3[[#This Row],[Windspeed]]&lt;=0.1,"0.00 -0.10",dataset3[[#This Row],[Windspeed]]&lt;=0.2,"0.10-0.20",dataset3[[#This Row],[Windspeed]]&lt;=0.3,"0.20-0.30",dataset3[[#This Row],[Windspeed]]&lt;=0.4,"0.30-0.40",dataset3[[#This Row],[Windspeed]]&lt;=0.5,"0.40-0.50",dataset3[[#This Row],[Windspeed]]&lt;=0.6,"0.50-0.60")</f>
        <v>0.00 -0.10</v>
      </c>
      <c r="R332" s="1" t="str" cm="1">
        <f t="array" ref="R33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33" spans="1:18" x14ac:dyDescent="0.25">
      <c r="A333" s="1">
        <v>951</v>
      </c>
      <c r="B333" s="3">
        <v>40586</v>
      </c>
      <c r="C333" s="1">
        <v>1</v>
      </c>
      <c r="D333" s="1">
        <v>5</v>
      </c>
      <c r="E333" s="1" t="s">
        <v>27</v>
      </c>
      <c r="F333" s="1">
        <v>6</v>
      </c>
      <c r="G333" s="1">
        <v>1</v>
      </c>
      <c r="H333" s="1" t="str">
        <f t="shared" si="5"/>
        <v>Saturday</v>
      </c>
      <c r="I333" s="1" t="str" cm="1">
        <f t="array" ref="I333">_xlfn.IFS(dataset3[[#This Row],[Weather sit]]=1,"1 Clear",dataset3[[#This Row],[Weather sit]]=2,"2 Misty/Cloudy",dataset3[[#This Row],[Weather sit]]=3,"3 Light Snow/Rain",dataset3[[#This Row],[Weather sit]]=4,"4 Heavy Snow/Rain")</f>
        <v>1 Clear</v>
      </c>
      <c r="J333" s="7">
        <v>0.12</v>
      </c>
      <c r="K333" s="7">
        <v>0.16669999999999999</v>
      </c>
      <c r="L333" s="7">
        <v>0.74</v>
      </c>
      <c r="M333" s="7">
        <v>8.9599999999999999E-2</v>
      </c>
      <c r="N333" s="1">
        <v>0</v>
      </c>
      <c r="O333" s="1">
        <v>1</v>
      </c>
      <c r="P333" s="1">
        <v>1</v>
      </c>
      <c r="Q333" s="1" t="str" cm="1">
        <f t="array" ref="Q333">_xlfn.IFS(dataset3[[#This Row],[Windspeed]]&lt;=0.1,"0.00 -0.10",dataset3[[#This Row],[Windspeed]]&lt;=0.2,"0.10-0.20",dataset3[[#This Row],[Windspeed]]&lt;=0.3,"0.20-0.30",dataset3[[#This Row],[Windspeed]]&lt;=0.4,"0.30-0.40",dataset3[[#This Row],[Windspeed]]&lt;=0.5,"0.40-0.50",dataset3[[#This Row],[Windspeed]]&lt;=0.6,"0.50-0.60")</f>
        <v>0.00 -0.10</v>
      </c>
      <c r="R333" s="1" t="str" cm="1">
        <f t="array" ref="R33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34" spans="1:18" x14ac:dyDescent="0.25">
      <c r="A334" s="1">
        <v>952</v>
      </c>
      <c r="B334" s="3">
        <v>40586</v>
      </c>
      <c r="C334" s="1">
        <v>1</v>
      </c>
      <c r="D334" s="1">
        <v>6</v>
      </c>
      <c r="E334" s="1" t="s">
        <v>27</v>
      </c>
      <c r="F334" s="1">
        <v>6</v>
      </c>
      <c r="G334" s="1">
        <v>1</v>
      </c>
      <c r="H334" s="1" t="str">
        <f t="shared" si="5"/>
        <v>Saturday</v>
      </c>
      <c r="I334" s="1" t="str" cm="1">
        <f t="array" ref="I334">_xlfn.IFS(dataset3[[#This Row],[Weather sit]]=1,"1 Clear",dataset3[[#This Row],[Weather sit]]=2,"2 Misty/Cloudy",dataset3[[#This Row],[Weather sit]]=3,"3 Light Snow/Rain",dataset3[[#This Row],[Weather sit]]=4,"4 Heavy Snow/Rain")</f>
        <v>1 Clear</v>
      </c>
      <c r="J334" s="7">
        <v>0.12</v>
      </c>
      <c r="K334" s="7">
        <v>0.13639999999999999</v>
      </c>
      <c r="L334" s="7">
        <v>0.93</v>
      </c>
      <c r="M334" s="7">
        <v>0.19400000000000001</v>
      </c>
      <c r="N334" s="1">
        <v>1</v>
      </c>
      <c r="O334" s="1">
        <v>1</v>
      </c>
      <c r="P334" s="1">
        <v>2</v>
      </c>
      <c r="Q334" s="1" t="str" cm="1">
        <f t="array" ref="Q334">_xlfn.IFS(dataset3[[#This Row],[Windspeed]]&lt;=0.1,"0.00 -0.10",dataset3[[#This Row],[Windspeed]]&lt;=0.2,"0.10-0.20",dataset3[[#This Row],[Windspeed]]&lt;=0.3,"0.20-0.30",dataset3[[#This Row],[Windspeed]]&lt;=0.4,"0.30-0.40",dataset3[[#This Row],[Windspeed]]&lt;=0.5,"0.40-0.50",dataset3[[#This Row],[Windspeed]]&lt;=0.6,"0.50-0.60")</f>
        <v>0.10-0.20</v>
      </c>
      <c r="R334" s="1" t="str" cm="1">
        <f t="array" ref="R33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0.90-1.00</v>
      </c>
    </row>
    <row r="335" spans="1:18" x14ac:dyDescent="0.25">
      <c r="A335" s="1">
        <v>953</v>
      </c>
      <c r="B335" s="3">
        <v>40586</v>
      </c>
      <c r="C335" s="1">
        <v>1</v>
      </c>
      <c r="D335" s="1">
        <v>7</v>
      </c>
      <c r="E335" s="1" t="s">
        <v>27</v>
      </c>
      <c r="F335" s="1">
        <v>6</v>
      </c>
      <c r="G335" s="1">
        <v>1</v>
      </c>
      <c r="H335" s="1" t="str">
        <f t="shared" si="5"/>
        <v>Saturday</v>
      </c>
      <c r="I335" s="1" t="str" cm="1">
        <f t="array" ref="I335">_xlfn.IFS(dataset3[[#This Row],[Weather sit]]=1,"1 Clear",dataset3[[#This Row],[Weather sit]]=2,"2 Misty/Cloudy",dataset3[[#This Row],[Weather sit]]=3,"3 Light Snow/Rain",dataset3[[#This Row],[Weather sit]]=4,"4 Heavy Snow/Rain")</f>
        <v>1 Clear</v>
      </c>
      <c r="J335" s="7">
        <v>0.12</v>
      </c>
      <c r="K335" s="7">
        <v>0.1515</v>
      </c>
      <c r="L335" s="7">
        <v>0.8</v>
      </c>
      <c r="M335" s="7">
        <v>0.1045</v>
      </c>
      <c r="N335" s="1">
        <v>2</v>
      </c>
      <c r="O335" s="1">
        <v>9</v>
      </c>
      <c r="P335" s="1">
        <v>11</v>
      </c>
      <c r="Q335" s="1" t="str" cm="1">
        <f t="array" ref="Q335">_xlfn.IFS(dataset3[[#This Row],[Windspeed]]&lt;=0.1,"0.00 -0.10",dataset3[[#This Row],[Windspeed]]&lt;=0.2,"0.10-0.20",dataset3[[#This Row],[Windspeed]]&lt;=0.3,"0.20-0.30",dataset3[[#This Row],[Windspeed]]&lt;=0.4,"0.30-0.40",dataset3[[#This Row],[Windspeed]]&lt;=0.5,"0.40-0.50",dataset3[[#This Row],[Windspeed]]&lt;=0.6,"0.50-0.60")</f>
        <v>0.10-0.20</v>
      </c>
      <c r="R335" s="1" t="str" cm="1">
        <f t="array" ref="R33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36" spans="1:18" x14ac:dyDescent="0.25">
      <c r="A336" s="1">
        <v>954</v>
      </c>
      <c r="B336" s="3">
        <v>40586</v>
      </c>
      <c r="C336" s="1">
        <v>1</v>
      </c>
      <c r="D336" s="1">
        <v>8</v>
      </c>
      <c r="E336" s="1" t="s">
        <v>27</v>
      </c>
      <c r="F336" s="1">
        <v>6</v>
      </c>
      <c r="G336" s="1">
        <v>1</v>
      </c>
      <c r="H336" s="1" t="str">
        <f t="shared" si="5"/>
        <v>Saturday</v>
      </c>
      <c r="I336" s="1" t="str" cm="1">
        <f t="array" ref="I336">_xlfn.IFS(dataset3[[#This Row],[Weather sit]]=1,"1 Clear",dataset3[[#This Row],[Weather sit]]=2,"2 Misty/Cloudy",dataset3[[#This Row],[Weather sit]]=3,"3 Light Snow/Rain",dataset3[[#This Row],[Weather sit]]=4,"4 Heavy Snow/Rain")</f>
        <v>1 Clear</v>
      </c>
      <c r="J336" s="7">
        <v>0.14000000000000001</v>
      </c>
      <c r="K336" s="7">
        <v>0.1515</v>
      </c>
      <c r="L336" s="7">
        <v>0.86</v>
      </c>
      <c r="M336" s="7">
        <v>0.1343</v>
      </c>
      <c r="N336" s="1">
        <v>2</v>
      </c>
      <c r="O336" s="1">
        <v>28</v>
      </c>
      <c r="P336" s="1">
        <v>30</v>
      </c>
      <c r="Q336" s="1" t="str" cm="1">
        <f t="array" ref="Q336">_xlfn.IFS(dataset3[[#This Row],[Windspeed]]&lt;=0.1,"0.00 -0.10",dataset3[[#This Row],[Windspeed]]&lt;=0.2,"0.10-0.20",dataset3[[#This Row],[Windspeed]]&lt;=0.3,"0.20-0.30",dataset3[[#This Row],[Windspeed]]&lt;=0.4,"0.30-0.40",dataset3[[#This Row],[Windspeed]]&lt;=0.5,"0.40-0.50",dataset3[[#This Row],[Windspeed]]&lt;=0.6,"0.50-0.60")</f>
        <v>0.10-0.20</v>
      </c>
      <c r="R336" s="1" t="str" cm="1">
        <f t="array" ref="R33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0.80-0.90</v>
      </c>
    </row>
    <row r="337" spans="1:18" x14ac:dyDescent="0.25">
      <c r="A337" s="1">
        <v>955</v>
      </c>
      <c r="B337" s="3">
        <v>40586</v>
      </c>
      <c r="C337" s="1">
        <v>1</v>
      </c>
      <c r="D337" s="1">
        <v>9</v>
      </c>
      <c r="E337" s="1" t="s">
        <v>27</v>
      </c>
      <c r="F337" s="1">
        <v>6</v>
      </c>
      <c r="G337" s="1">
        <v>1</v>
      </c>
      <c r="H337" s="1" t="str">
        <f t="shared" si="5"/>
        <v>Saturday</v>
      </c>
      <c r="I337" s="1" t="str" cm="1">
        <f t="array" ref="I337">_xlfn.IFS(dataset3[[#This Row],[Weather sit]]=1,"1 Clear",dataset3[[#This Row],[Weather sit]]=2,"2 Misty/Cloudy",dataset3[[#This Row],[Weather sit]]=3,"3 Light Snow/Rain",dataset3[[#This Row],[Weather sit]]=4,"4 Heavy Snow/Rain")</f>
        <v>1 Clear</v>
      </c>
      <c r="J337" s="7">
        <v>0.16</v>
      </c>
      <c r="K337" s="7">
        <v>0.18179999999999999</v>
      </c>
      <c r="L337" s="7">
        <v>0.64</v>
      </c>
      <c r="M337" s="7">
        <v>0.1343</v>
      </c>
      <c r="N337" s="1">
        <v>5</v>
      </c>
      <c r="O337" s="1">
        <v>38</v>
      </c>
      <c r="P337" s="1">
        <v>43</v>
      </c>
      <c r="Q337" s="1" t="str" cm="1">
        <f t="array" ref="Q337">_xlfn.IFS(dataset3[[#This Row],[Windspeed]]&lt;=0.1,"0.00 -0.10",dataset3[[#This Row],[Windspeed]]&lt;=0.2,"0.10-0.20",dataset3[[#This Row],[Windspeed]]&lt;=0.3,"0.20-0.30",dataset3[[#This Row],[Windspeed]]&lt;=0.4,"0.30-0.40",dataset3[[#This Row],[Windspeed]]&lt;=0.5,"0.40-0.50",dataset3[[#This Row],[Windspeed]]&lt;=0.6,"0.50-0.60")</f>
        <v>0.10-0.20</v>
      </c>
      <c r="R337" s="1" t="str" cm="1">
        <f t="array" ref="R33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38" spans="1:18" x14ac:dyDescent="0.25">
      <c r="A338" s="1">
        <v>956</v>
      </c>
      <c r="B338" s="3">
        <v>40586</v>
      </c>
      <c r="C338" s="1">
        <v>1</v>
      </c>
      <c r="D338" s="1">
        <v>10</v>
      </c>
      <c r="E338" s="1" t="s">
        <v>27</v>
      </c>
      <c r="F338" s="1">
        <v>6</v>
      </c>
      <c r="G338" s="1">
        <v>1</v>
      </c>
      <c r="H338" s="1" t="str">
        <f t="shared" si="5"/>
        <v>Saturday</v>
      </c>
      <c r="I338" s="1" t="str" cm="1">
        <f t="array" ref="I338">_xlfn.IFS(dataset3[[#This Row],[Weather sit]]=1,"1 Clear",dataset3[[#This Row],[Weather sit]]=2,"2 Misty/Cloudy",dataset3[[#This Row],[Weather sit]]=3,"3 Light Snow/Rain",dataset3[[#This Row],[Weather sit]]=4,"4 Heavy Snow/Rain")</f>
        <v>1 Clear</v>
      </c>
      <c r="J338" s="7">
        <v>0.22</v>
      </c>
      <c r="K338" s="7">
        <v>0.21210000000000001</v>
      </c>
      <c r="L338" s="7">
        <v>0.41</v>
      </c>
      <c r="M338" s="7">
        <v>0.25369999999999998</v>
      </c>
      <c r="N338" s="1">
        <v>13</v>
      </c>
      <c r="O338" s="1">
        <v>71</v>
      </c>
      <c r="P338" s="1">
        <v>84</v>
      </c>
      <c r="Q338" s="1" t="str" cm="1">
        <f t="array" ref="Q338">_xlfn.IFS(dataset3[[#This Row],[Windspeed]]&lt;=0.1,"0.00 -0.10",dataset3[[#This Row],[Windspeed]]&lt;=0.2,"0.10-0.20",dataset3[[#This Row],[Windspeed]]&lt;=0.3,"0.20-0.30",dataset3[[#This Row],[Windspeed]]&lt;=0.4,"0.30-0.40",dataset3[[#This Row],[Windspeed]]&lt;=0.5,"0.40-0.50",dataset3[[#This Row],[Windspeed]]&lt;=0.6,"0.50-0.60")</f>
        <v>0.20-0.30</v>
      </c>
      <c r="R338" s="1" t="str" cm="1">
        <f t="array" ref="R33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339" spans="1:18" x14ac:dyDescent="0.25">
      <c r="A339" s="1">
        <v>957</v>
      </c>
      <c r="B339" s="3">
        <v>40586</v>
      </c>
      <c r="C339" s="1">
        <v>1</v>
      </c>
      <c r="D339" s="1">
        <v>11</v>
      </c>
      <c r="E339" s="1" t="s">
        <v>27</v>
      </c>
      <c r="F339" s="1">
        <v>6</v>
      </c>
      <c r="G339" s="1">
        <v>1</v>
      </c>
      <c r="H339" s="1" t="str">
        <f t="shared" si="5"/>
        <v>Saturday</v>
      </c>
      <c r="I339" s="1" t="str" cm="1">
        <f t="array" ref="I339">_xlfn.IFS(dataset3[[#This Row],[Weather sit]]=1,"1 Clear",dataset3[[#This Row],[Weather sit]]=2,"2 Misty/Cloudy",dataset3[[#This Row],[Weather sit]]=3,"3 Light Snow/Rain",dataset3[[#This Row],[Weather sit]]=4,"4 Heavy Snow/Rain")</f>
        <v>1 Clear</v>
      </c>
      <c r="J339" s="7">
        <v>0.3</v>
      </c>
      <c r="K339" s="7">
        <v>0.2727</v>
      </c>
      <c r="L339" s="7">
        <v>0.28000000000000003</v>
      </c>
      <c r="M339" s="7">
        <v>0.32840000000000003</v>
      </c>
      <c r="N339" s="1">
        <v>30</v>
      </c>
      <c r="O339" s="1">
        <v>84</v>
      </c>
      <c r="P339" s="1">
        <v>114</v>
      </c>
      <c r="Q339" s="1" t="str" cm="1">
        <f t="array" ref="Q339">_xlfn.IFS(dataset3[[#This Row],[Windspeed]]&lt;=0.1,"0.00 -0.10",dataset3[[#This Row],[Windspeed]]&lt;=0.2,"0.10-0.20",dataset3[[#This Row],[Windspeed]]&lt;=0.3,"0.20-0.30",dataset3[[#This Row],[Windspeed]]&lt;=0.4,"0.30-0.40",dataset3[[#This Row],[Windspeed]]&lt;=0.5,"0.40-0.50",dataset3[[#This Row],[Windspeed]]&lt;=0.6,"0.50-0.60")</f>
        <v>0.30-0.40</v>
      </c>
      <c r="R339" s="1" t="str" cm="1">
        <f t="array" ref="R33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40" spans="1:18" x14ac:dyDescent="0.25">
      <c r="A340" s="1">
        <v>958</v>
      </c>
      <c r="B340" s="3">
        <v>40586</v>
      </c>
      <c r="C340" s="1">
        <v>1</v>
      </c>
      <c r="D340" s="1">
        <v>12</v>
      </c>
      <c r="E340" s="1" t="s">
        <v>27</v>
      </c>
      <c r="F340" s="1">
        <v>6</v>
      </c>
      <c r="G340" s="1">
        <v>1</v>
      </c>
      <c r="H340" s="1" t="str">
        <f t="shared" si="5"/>
        <v>Saturday</v>
      </c>
      <c r="I340" s="1" t="str" cm="1">
        <f t="array" ref="I340">_xlfn.IFS(dataset3[[#This Row],[Weather sit]]=1,"1 Clear",dataset3[[#This Row],[Weather sit]]=2,"2 Misty/Cloudy",dataset3[[#This Row],[Weather sit]]=3,"3 Light Snow/Rain",dataset3[[#This Row],[Weather sit]]=4,"4 Heavy Snow/Rain")</f>
        <v>1 Clear</v>
      </c>
      <c r="J340" s="7">
        <v>0.3</v>
      </c>
      <c r="K340" s="7">
        <v>0.2727</v>
      </c>
      <c r="L340" s="7">
        <v>0.39</v>
      </c>
      <c r="M340" s="7">
        <v>0.4627</v>
      </c>
      <c r="N340" s="1">
        <v>27</v>
      </c>
      <c r="O340" s="1">
        <v>93</v>
      </c>
      <c r="P340" s="1">
        <v>120</v>
      </c>
      <c r="Q340" s="1" t="str" cm="1">
        <f t="array" ref="Q340">_xlfn.IFS(dataset3[[#This Row],[Windspeed]]&lt;=0.1,"0.00 -0.10",dataset3[[#This Row],[Windspeed]]&lt;=0.2,"0.10-0.20",dataset3[[#This Row],[Windspeed]]&lt;=0.3,"0.20-0.30",dataset3[[#This Row],[Windspeed]]&lt;=0.4,"0.30-0.40",dataset3[[#This Row],[Windspeed]]&lt;=0.5,"0.40-0.50",dataset3[[#This Row],[Windspeed]]&lt;=0.6,"0.50-0.60")</f>
        <v>0.40-0.50</v>
      </c>
      <c r="R340" s="1" t="str" cm="1">
        <f t="array" ref="R34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41" spans="1:18" x14ac:dyDescent="0.25">
      <c r="A341" s="1">
        <v>959</v>
      </c>
      <c r="B341" s="3">
        <v>40586</v>
      </c>
      <c r="C341" s="1">
        <v>1</v>
      </c>
      <c r="D341" s="1">
        <v>13</v>
      </c>
      <c r="E341" s="1" t="s">
        <v>27</v>
      </c>
      <c r="F341" s="1">
        <v>6</v>
      </c>
      <c r="G341" s="1">
        <v>1</v>
      </c>
      <c r="H341" s="1" t="str">
        <f t="shared" si="5"/>
        <v>Saturday</v>
      </c>
      <c r="I341" s="1" t="str" cm="1">
        <f t="array" ref="I341">_xlfn.IFS(dataset3[[#This Row],[Weather sit]]=1,"1 Clear",dataset3[[#This Row],[Weather sit]]=2,"2 Misty/Cloudy",dataset3[[#This Row],[Weather sit]]=3,"3 Light Snow/Rain",dataset3[[#This Row],[Weather sit]]=4,"4 Heavy Snow/Rain")</f>
        <v>1 Clear</v>
      </c>
      <c r="J341" s="7">
        <v>0.3</v>
      </c>
      <c r="K341" s="7">
        <v>0.2727</v>
      </c>
      <c r="L341" s="7">
        <v>0.39</v>
      </c>
      <c r="M341" s="7">
        <v>0.41789999999999999</v>
      </c>
      <c r="N341" s="1">
        <v>32</v>
      </c>
      <c r="O341" s="1">
        <v>103</v>
      </c>
      <c r="P341" s="1">
        <v>135</v>
      </c>
      <c r="Q341" s="1" t="str" cm="1">
        <f t="array" ref="Q341">_xlfn.IFS(dataset3[[#This Row],[Windspeed]]&lt;=0.1,"0.00 -0.10",dataset3[[#This Row],[Windspeed]]&lt;=0.2,"0.10-0.20",dataset3[[#This Row],[Windspeed]]&lt;=0.3,"0.20-0.30",dataset3[[#This Row],[Windspeed]]&lt;=0.4,"0.30-0.40",dataset3[[#This Row],[Windspeed]]&lt;=0.5,"0.40-0.50",dataset3[[#This Row],[Windspeed]]&lt;=0.6,"0.50-0.60")</f>
        <v>0.40-0.50</v>
      </c>
      <c r="R341" s="1" t="str" cm="1">
        <f t="array" ref="R34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42" spans="1:18" x14ac:dyDescent="0.25">
      <c r="A342" s="1">
        <v>960</v>
      </c>
      <c r="B342" s="3">
        <v>40586</v>
      </c>
      <c r="C342" s="1">
        <v>1</v>
      </c>
      <c r="D342" s="1">
        <v>14</v>
      </c>
      <c r="E342" s="1" t="s">
        <v>27</v>
      </c>
      <c r="F342" s="1">
        <v>6</v>
      </c>
      <c r="G342" s="1">
        <v>1</v>
      </c>
      <c r="H342" s="1" t="str">
        <f t="shared" si="5"/>
        <v>Saturday</v>
      </c>
      <c r="I342" s="1" t="str" cm="1">
        <f t="array" ref="I342">_xlfn.IFS(dataset3[[#This Row],[Weather sit]]=1,"1 Clear",dataset3[[#This Row],[Weather sit]]=2,"2 Misty/Cloudy",dataset3[[#This Row],[Weather sit]]=3,"3 Light Snow/Rain",dataset3[[#This Row],[Weather sit]]=4,"4 Heavy Snow/Rain")</f>
        <v>1 Clear</v>
      </c>
      <c r="J342" s="7">
        <v>0.34</v>
      </c>
      <c r="K342" s="7">
        <v>0.31819999999999998</v>
      </c>
      <c r="L342" s="7">
        <v>0.31</v>
      </c>
      <c r="M342" s="7">
        <v>0.28360000000000002</v>
      </c>
      <c r="N342" s="1">
        <v>30</v>
      </c>
      <c r="O342" s="1">
        <v>90</v>
      </c>
      <c r="P342" s="1">
        <v>120</v>
      </c>
      <c r="Q342" s="1" t="str" cm="1">
        <f t="array" ref="Q342">_xlfn.IFS(dataset3[[#This Row],[Windspeed]]&lt;=0.1,"0.00 -0.10",dataset3[[#This Row],[Windspeed]]&lt;=0.2,"0.10-0.20",dataset3[[#This Row],[Windspeed]]&lt;=0.3,"0.20-0.30",dataset3[[#This Row],[Windspeed]]&lt;=0.4,"0.30-0.40",dataset3[[#This Row],[Windspeed]]&lt;=0.5,"0.40-0.50",dataset3[[#This Row],[Windspeed]]&lt;=0.6,"0.50-0.60")</f>
        <v>0.20-0.30</v>
      </c>
      <c r="R342" s="1" t="str" cm="1">
        <f t="array" ref="R34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43" spans="1:18" x14ac:dyDescent="0.25">
      <c r="A343" s="1">
        <v>961</v>
      </c>
      <c r="B343" s="3">
        <v>40586</v>
      </c>
      <c r="C343" s="1">
        <v>1</v>
      </c>
      <c r="D343" s="1">
        <v>15</v>
      </c>
      <c r="E343" s="1" t="s">
        <v>27</v>
      </c>
      <c r="F343" s="1">
        <v>6</v>
      </c>
      <c r="G343" s="1">
        <v>1</v>
      </c>
      <c r="H343" s="1" t="str">
        <f t="shared" si="5"/>
        <v>Saturday</v>
      </c>
      <c r="I343" s="1" t="str" cm="1">
        <f t="array" ref="I343">_xlfn.IFS(dataset3[[#This Row],[Weather sit]]=1,"1 Clear",dataset3[[#This Row],[Weather sit]]=2,"2 Misty/Cloudy",dataset3[[#This Row],[Weather sit]]=3,"3 Light Snow/Rain",dataset3[[#This Row],[Weather sit]]=4,"4 Heavy Snow/Rain")</f>
        <v>1 Clear</v>
      </c>
      <c r="J343" s="7">
        <v>0.34</v>
      </c>
      <c r="K343" s="7">
        <v>0.30299999999999999</v>
      </c>
      <c r="L343" s="7">
        <v>0.28999999999999998</v>
      </c>
      <c r="M343" s="7">
        <v>0.41789999999999999</v>
      </c>
      <c r="N343" s="1">
        <v>47</v>
      </c>
      <c r="O343" s="1">
        <v>127</v>
      </c>
      <c r="P343" s="1">
        <v>174</v>
      </c>
      <c r="Q343" s="1" t="str" cm="1">
        <f t="array" ref="Q343">_xlfn.IFS(dataset3[[#This Row],[Windspeed]]&lt;=0.1,"0.00 -0.10",dataset3[[#This Row],[Windspeed]]&lt;=0.2,"0.10-0.20",dataset3[[#This Row],[Windspeed]]&lt;=0.3,"0.20-0.30",dataset3[[#This Row],[Windspeed]]&lt;=0.4,"0.30-0.40",dataset3[[#This Row],[Windspeed]]&lt;=0.5,"0.40-0.50",dataset3[[#This Row],[Windspeed]]&lt;=0.6,"0.50-0.60")</f>
        <v>0.40-0.50</v>
      </c>
      <c r="R343" s="1" t="str" cm="1">
        <f t="array" ref="R34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44" spans="1:18" x14ac:dyDescent="0.25">
      <c r="A344" s="1">
        <v>962</v>
      </c>
      <c r="B344" s="3">
        <v>40586</v>
      </c>
      <c r="C344" s="1">
        <v>1</v>
      </c>
      <c r="D344" s="1">
        <v>16</v>
      </c>
      <c r="E344" s="1" t="s">
        <v>27</v>
      </c>
      <c r="F344" s="1">
        <v>6</v>
      </c>
      <c r="G344" s="1">
        <v>1</v>
      </c>
      <c r="H344" s="1" t="str">
        <f t="shared" si="5"/>
        <v>Saturday</v>
      </c>
      <c r="I344" s="1" t="str" cm="1">
        <f t="array" ref="I344">_xlfn.IFS(dataset3[[#This Row],[Weather sit]]=1,"1 Clear",dataset3[[#This Row],[Weather sit]]=2,"2 Misty/Cloudy",dataset3[[#This Row],[Weather sit]]=3,"3 Light Snow/Rain",dataset3[[#This Row],[Weather sit]]=4,"4 Heavy Snow/Rain")</f>
        <v>1 Clear</v>
      </c>
      <c r="J344" s="7">
        <v>0.34</v>
      </c>
      <c r="K344" s="7">
        <v>0.30299999999999999</v>
      </c>
      <c r="L344" s="7">
        <v>0.28999999999999998</v>
      </c>
      <c r="M344" s="7">
        <v>0.41789999999999999</v>
      </c>
      <c r="N344" s="1">
        <v>42</v>
      </c>
      <c r="O344" s="1">
        <v>103</v>
      </c>
      <c r="P344" s="1">
        <v>145</v>
      </c>
      <c r="Q344" s="1" t="str" cm="1">
        <f t="array" ref="Q344">_xlfn.IFS(dataset3[[#This Row],[Windspeed]]&lt;=0.1,"0.00 -0.10",dataset3[[#This Row],[Windspeed]]&lt;=0.2,"0.10-0.20",dataset3[[#This Row],[Windspeed]]&lt;=0.3,"0.20-0.30",dataset3[[#This Row],[Windspeed]]&lt;=0.4,"0.30-0.40",dataset3[[#This Row],[Windspeed]]&lt;=0.5,"0.40-0.50",dataset3[[#This Row],[Windspeed]]&lt;=0.6,"0.50-0.60")</f>
        <v>0.40-0.50</v>
      </c>
      <c r="R344" s="1" t="str" cm="1">
        <f t="array" ref="R34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45" spans="1:18" x14ac:dyDescent="0.25">
      <c r="A345" s="1">
        <v>963</v>
      </c>
      <c r="B345" s="3">
        <v>40586</v>
      </c>
      <c r="C345" s="1">
        <v>1</v>
      </c>
      <c r="D345" s="1">
        <v>17</v>
      </c>
      <c r="E345" s="1" t="s">
        <v>27</v>
      </c>
      <c r="F345" s="1">
        <v>6</v>
      </c>
      <c r="G345" s="1">
        <v>1</v>
      </c>
      <c r="H345" s="1" t="str">
        <f t="shared" si="5"/>
        <v>Saturday</v>
      </c>
      <c r="I345" s="1" t="str" cm="1">
        <f t="array" ref="I345">_xlfn.IFS(dataset3[[#This Row],[Weather sit]]=1,"1 Clear",dataset3[[#This Row],[Weather sit]]=2,"2 Misty/Cloudy",dataset3[[#This Row],[Weather sit]]=3,"3 Light Snow/Rain",dataset3[[#This Row],[Weather sit]]=4,"4 Heavy Snow/Rain")</f>
        <v>1 Clear</v>
      </c>
      <c r="J345" s="7">
        <v>0.32</v>
      </c>
      <c r="K345" s="7">
        <v>0.28789999999999999</v>
      </c>
      <c r="L345" s="7">
        <v>0.31</v>
      </c>
      <c r="M345" s="7">
        <v>0.52239999999999998</v>
      </c>
      <c r="N345" s="1">
        <v>24</v>
      </c>
      <c r="O345" s="1">
        <v>113</v>
      </c>
      <c r="P345" s="1">
        <v>137</v>
      </c>
      <c r="Q345" s="1" t="str" cm="1">
        <f t="array" ref="Q345">_xlfn.IFS(dataset3[[#This Row],[Windspeed]]&lt;=0.1,"0.00 -0.10",dataset3[[#This Row],[Windspeed]]&lt;=0.2,"0.10-0.20",dataset3[[#This Row],[Windspeed]]&lt;=0.3,"0.20-0.30",dataset3[[#This Row],[Windspeed]]&lt;=0.4,"0.30-0.40",dataset3[[#This Row],[Windspeed]]&lt;=0.5,"0.40-0.50",dataset3[[#This Row],[Windspeed]]&lt;=0.6,"0.50-0.60")</f>
        <v>0.50-0.60</v>
      </c>
      <c r="R345" s="1" t="str" cm="1">
        <f t="array" ref="R34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46" spans="1:18" x14ac:dyDescent="0.25">
      <c r="A346" s="1">
        <v>964</v>
      </c>
      <c r="B346" s="3">
        <v>40586</v>
      </c>
      <c r="C346" s="1">
        <v>1</v>
      </c>
      <c r="D346" s="1">
        <v>18</v>
      </c>
      <c r="E346" s="1" t="s">
        <v>27</v>
      </c>
      <c r="F346" s="1">
        <v>6</v>
      </c>
      <c r="G346" s="1">
        <v>1</v>
      </c>
      <c r="H346" s="1" t="str">
        <f t="shared" si="5"/>
        <v>Saturday</v>
      </c>
      <c r="I346" s="1" t="str" cm="1">
        <f t="array" ref="I346">_xlfn.IFS(dataset3[[#This Row],[Weather sit]]=1,"1 Clear",dataset3[[#This Row],[Weather sit]]=2,"2 Misty/Cloudy",dataset3[[#This Row],[Weather sit]]=3,"3 Light Snow/Rain",dataset3[[#This Row],[Weather sit]]=4,"4 Heavy Snow/Rain")</f>
        <v>1 Clear</v>
      </c>
      <c r="J346" s="7">
        <v>0.28000000000000003</v>
      </c>
      <c r="K346" s="7">
        <v>0.2576</v>
      </c>
      <c r="L346" s="7">
        <v>0.38</v>
      </c>
      <c r="M346" s="7">
        <v>0.32840000000000003</v>
      </c>
      <c r="N346" s="1">
        <v>4</v>
      </c>
      <c r="O346" s="1">
        <v>60</v>
      </c>
      <c r="P346" s="1">
        <v>64</v>
      </c>
      <c r="Q346" s="1" t="str" cm="1">
        <f t="array" ref="Q346">_xlfn.IFS(dataset3[[#This Row],[Windspeed]]&lt;=0.1,"0.00 -0.10",dataset3[[#This Row],[Windspeed]]&lt;=0.2,"0.10-0.20",dataset3[[#This Row],[Windspeed]]&lt;=0.3,"0.20-0.30",dataset3[[#This Row],[Windspeed]]&lt;=0.4,"0.30-0.40",dataset3[[#This Row],[Windspeed]]&lt;=0.5,"0.40-0.50",dataset3[[#This Row],[Windspeed]]&lt;=0.6,"0.50-0.60")</f>
        <v>0.30-0.40</v>
      </c>
      <c r="R346" s="1" t="str" cm="1">
        <f t="array" ref="R34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47" spans="1:18" x14ac:dyDescent="0.25">
      <c r="A347" s="1">
        <v>965</v>
      </c>
      <c r="B347" s="3">
        <v>40586</v>
      </c>
      <c r="C347" s="1">
        <v>1</v>
      </c>
      <c r="D347" s="1">
        <v>19</v>
      </c>
      <c r="E347" s="1" t="s">
        <v>27</v>
      </c>
      <c r="F347" s="1">
        <v>6</v>
      </c>
      <c r="G347" s="1">
        <v>1</v>
      </c>
      <c r="H347" s="1" t="str">
        <f t="shared" si="5"/>
        <v>Saturday</v>
      </c>
      <c r="I347" s="1" t="str" cm="1">
        <f t="array" ref="I347">_xlfn.IFS(dataset3[[#This Row],[Weather sit]]=1,"1 Clear",dataset3[[#This Row],[Weather sit]]=2,"2 Misty/Cloudy",dataset3[[#This Row],[Weather sit]]=3,"3 Light Snow/Rain",dataset3[[#This Row],[Weather sit]]=4,"4 Heavy Snow/Rain")</f>
        <v>1 Clear</v>
      </c>
      <c r="J347" s="7">
        <v>0.28000000000000003</v>
      </c>
      <c r="K347" s="7">
        <v>0.2727</v>
      </c>
      <c r="L347" s="7">
        <v>0.38</v>
      </c>
      <c r="M347" s="7">
        <v>0.16420000000000001</v>
      </c>
      <c r="N347" s="1">
        <v>2</v>
      </c>
      <c r="O347" s="1">
        <v>39</v>
      </c>
      <c r="P347" s="1">
        <v>41</v>
      </c>
      <c r="Q347" s="1" t="str" cm="1">
        <f t="array" ref="Q347">_xlfn.IFS(dataset3[[#This Row],[Windspeed]]&lt;=0.1,"0.00 -0.10",dataset3[[#This Row],[Windspeed]]&lt;=0.2,"0.10-0.20",dataset3[[#This Row],[Windspeed]]&lt;=0.3,"0.20-0.30",dataset3[[#This Row],[Windspeed]]&lt;=0.4,"0.30-0.40",dataset3[[#This Row],[Windspeed]]&lt;=0.5,"0.40-0.50",dataset3[[#This Row],[Windspeed]]&lt;=0.6,"0.50-0.60")</f>
        <v>0.10-0.20</v>
      </c>
      <c r="R347" s="1" t="str" cm="1">
        <f t="array" ref="R34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48" spans="1:18" x14ac:dyDescent="0.25">
      <c r="A348" s="1">
        <v>966</v>
      </c>
      <c r="B348" s="3">
        <v>40586</v>
      </c>
      <c r="C348" s="1">
        <v>1</v>
      </c>
      <c r="D348" s="1">
        <v>20</v>
      </c>
      <c r="E348" s="1" t="s">
        <v>27</v>
      </c>
      <c r="F348" s="1">
        <v>6</v>
      </c>
      <c r="G348" s="1">
        <v>1</v>
      </c>
      <c r="H348" s="1" t="str">
        <f t="shared" si="5"/>
        <v>Saturday</v>
      </c>
      <c r="I348" s="1" t="str" cm="1">
        <f t="array" ref="I348">_xlfn.IFS(dataset3[[#This Row],[Weather sit]]=1,"1 Clear",dataset3[[#This Row],[Weather sit]]=2,"2 Misty/Cloudy",dataset3[[#This Row],[Weather sit]]=3,"3 Light Snow/Rain",dataset3[[#This Row],[Weather sit]]=4,"4 Heavy Snow/Rain")</f>
        <v>1 Clear</v>
      </c>
      <c r="J348" s="7">
        <v>0.26</v>
      </c>
      <c r="K348" s="7">
        <v>0.2576</v>
      </c>
      <c r="L348" s="7">
        <v>0.41</v>
      </c>
      <c r="M348" s="7">
        <v>0.22389999999999999</v>
      </c>
      <c r="N348" s="1">
        <v>1</v>
      </c>
      <c r="O348" s="1">
        <v>39</v>
      </c>
      <c r="P348" s="1">
        <v>40</v>
      </c>
      <c r="Q348" s="1" t="str" cm="1">
        <f t="array" ref="Q348">_xlfn.IFS(dataset3[[#This Row],[Windspeed]]&lt;=0.1,"0.00 -0.10",dataset3[[#This Row],[Windspeed]]&lt;=0.2,"0.10-0.20",dataset3[[#This Row],[Windspeed]]&lt;=0.3,"0.20-0.30",dataset3[[#This Row],[Windspeed]]&lt;=0.4,"0.30-0.40",dataset3[[#This Row],[Windspeed]]&lt;=0.5,"0.40-0.50",dataset3[[#This Row],[Windspeed]]&lt;=0.6,"0.50-0.60")</f>
        <v>0.20-0.30</v>
      </c>
      <c r="R348" s="1" t="str" cm="1">
        <f t="array" ref="R34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349" spans="1:18" x14ac:dyDescent="0.25">
      <c r="A349" s="1">
        <v>967</v>
      </c>
      <c r="B349" s="3">
        <v>40586</v>
      </c>
      <c r="C349" s="1">
        <v>1</v>
      </c>
      <c r="D349" s="1">
        <v>21</v>
      </c>
      <c r="E349" s="1" t="s">
        <v>27</v>
      </c>
      <c r="F349" s="1">
        <v>6</v>
      </c>
      <c r="G349" s="1">
        <v>1</v>
      </c>
      <c r="H349" s="1" t="str">
        <f t="shared" si="5"/>
        <v>Saturday</v>
      </c>
      <c r="I349" s="1" t="str" cm="1">
        <f t="array" ref="I349">_xlfn.IFS(dataset3[[#This Row],[Weather sit]]=1,"1 Clear",dataset3[[#This Row],[Weather sit]]=2,"2 Misty/Cloudy",dataset3[[#This Row],[Weather sit]]=3,"3 Light Snow/Rain",dataset3[[#This Row],[Weather sit]]=4,"4 Heavy Snow/Rain")</f>
        <v>1 Clear</v>
      </c>
      <c r="J349" s="7">
        <v>0.26</v>
      </c>
      <c r="K349" s="7">
        <v>0.30299999999999999</v>
      </c>
      <c r="L349" s="7">
        <v>0.41</v>
      </c>
      <c r="M349" s="7">
        <v>0</v>
      </c>
      <c r="N349" s="1">
        <v>9</v>
      </c>
      <c r="O349" s="1">
        <v>42</v>
      </c>
      <c r="P349" s="1">
        <v>51</v>
      </c>
      <c r="Q349" s="1" t="str" cm="1">
        <f t="array" ref="Q349">_xlfn.IFS(dataset3[[#This Row],[Windspeed]]&lt;=0.1,"0.00 -0.10",dataset3[[#This Row],[Windspeed]]&lt;=0.2,"0.10-0.20",dataset3[[#This Row],[Windspeed]]&lt;=0.3,"0.20-0.30",dataset3[[#This Row],[Windspeed]]&lt;=0.4,"0.30-0.40",dataset3[[#This Row],[Windspeed]]&lt;=0.5,"0.40-0.50",dataset3[[#This Row],[Windspeed]]&lt;=0.6,"0.50-0.60")</f>
        <v>0.00 -0.10</v>
      </c>
      <c r="R349" s="1" t="str" cm="1">
        <f t="array" ref="R34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350" spans="1:18" x14ac:dyDescent="0.25">
      <c r="A350" s="1">
        <v>968</v>
      </c>
      <c r="B350" s="3">
        <v>40586</v>
      </c>
      <c r="C350" s="1">
        <v>1</v>
      </c>
      <c r="D350" s="1">
        <v>22</v>
      </c>
      <c r="E350" s="1" t="s">
        <v>27</v>
      </c>
      <c r="F350" s="1">
        <v>6</v>
      </c>
      <c r="G350" s="1">
        <v>1</v>
      </c>
      <c r="H350" s="1" t="str">
        <f t="shared" si="5"/>
        <v>Saturday</v>
      </c>
      <c r="I350" s="1" t="str" cm="1">
        <f t="array" ref="I350">_xlfn.IFS(dataset3[[#This Row],[Weather sit]]=1,"1 Clear",dataset3[[#This Row],[Weather sit]]=2,"2 Misty/Cloudy",dataset3[[#This Row],[Weather sit]]=3,"3 Light Snow/Rain",dataset3[[#This Row],[Weather sit]]=4,"4 Heavy Snow/Rain")</f>
        <v>1 Clear</v>
      </c>
      <c r="J350" s="7">
        <v>0.24</v>
      </c>
      <c r="K350" s="7">
        <v>0.2576</v>
      </c>
      <c r="L350" s="7">
        <v>0.44</v>
      </c>
      <c r="M350" s="7">
        <v>8.9599999999999999E-2</v>
      </c>
      <c r="N350" s="1">
        <v>6</v>
      </c>
      <c r="O350" s="1">
        <v>39</v>
      </c>
      <c r="P350" s="1">
        <v>45</v>
      </c>
      <c r="Q350" s="1" t="str" cm="1">
        <f t="array" ref="Q350">_xlfn.IFS(dataset3[[#This Row],[Windspeed]]&lt;=0.1,"0.00 -0.10",dataset3[[#This Row],[Windspeed]]&lt;=0.2,"0.10-0.20",dataset3[[#This Row],[Windspeed]]&lt;=0.3,"0.20-0.30",dataset3[[#This Row],[Windspeed]]&lt;=0.4,"0.30-0.40",dataset3[[#This Row],[Windspeed]]&lt;=0.5,"0.40-0.50",dataset3[[#This Row],[Windspeed]]&lt;=0.6,"0.50-0.60")</f>
        <v>0.00 -0.10</v>
      </c>
      <c r="R350" s="1" t="str" cm="1">
        <f t="array" ref="R35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351" spans="1:18" x14ac:dyDescent="0.25">
      <c r="A351" s="1">
        <v>969</v>
      </c>
      <c r="B351" s="3">
        <v>40586</v>
      </c>
      <c r="C351" s="1">
        <v>1</v>
      </c>
      <c r="D351" s="1">
        <v>23</v>
      </c>
      <c r="E351" s="1" t="s">
        <v>27</v>
      </c>
      <c r="F351" s="1">
        <v>6</v>
      </c>
      <c r="G351" s="1">
        <v>1</v>
      </c>
      <c r="H351" s="1" t="str">
        <f t="shared" si="5"/>
        <v>Saturday</v>
      </c>
      <c r="I351" s="1" t="str" cm="1">
        <f t="array" ref="I351">_xlfn.IFS(dataset3[[#This Row],[Weather sit]]=1,"1 Clear",dataset3[[#This Row],[Weather sit]]=2,"2 Misty/Cloudy",dataset3[[#This Row],[Weather sit]]=3,"3 Light Snow/Rain",dataset3[[#This Row],[Weather sit]]=4,"4 Heavy Snow/Rain")</f>
        <v>1 Clear</v>
      </c>
      <c r="J351" s="7">
        <v>0.22</v>
      </c>
      <c r="K351" s="7">
        <v>0.2273</v>
      </c>
      <c r="L351" s="7">
        <v>0.51</v>
      </c>
      <c r="M351" s="7">
        <v>0.1343</v>
      </c>
      <c r="N351" s="1">
        <v>1</v>
      </c>
      <c r="O351" s="1">
        <v>31</v>
      </c>
      <c r="P351" s="1">
        <v>32</v>
      </c>
      <c r="Q351" s="1" t="str" cm="1">
        <f t="array" ref="Q351">_xlfn.IFS(dataset3[[#This Row],[Windspeed]]&lt;=0.1,"0.00 -0.10",dataset3[[#This Row],[Windspeed]]&lt;=0.2,"0.10-0.20",dataset3[[#This Row],[Windspeed]]&lt;=0.3,"0.20-0.30",dataset3[[#This Row],[Windspeed]]&lt;=0.4,"0.30-0.40",dataset3[[#This Row],[Windspeed]]&lt;=0.5,"0.40-0.50",dataset3[[#This Row],[Windspeed]]&lt;=0.6,"0.50-0.60")</f>
        <v>0.10-0.20</v>
      </c>
      <c r="R351" s="1" t="str" cm="1">
        <f t="array" ref="R35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352" spans="1:18" x14ac:dyDescent="0.25">
      <c r="A352" s="1">
        <v>970</v>
      </c>
      <c r="B352" s="3">
        <v>40587</v>
      </c>
      <c r="C352" s="1">
        <v>1</v>
      </c>
      <c r="D352" s="1">
        <v>0</v>
      </c>
      <c r="E352" s="1" t="s">
        <v>27</v>
      </c>
      <c r="F352" s="1">
        <v>0</v>
      </c>
      <c r="G352" s="1">
        <v>1</v>
      </c>
      <c r="H352" s="1" t="str">
        <f t="shared" si="5"/>
        <v>Sunday</v>
      </c>
      <c r="I352" s="1" t="str" cm="1">
        <f t="array" ref="I352">_xlfn.IFS(dataset3[[#This Row],[Weather sit]]=1,"1 Clear",dataset3[[#This Row],[Weather sit]]=2,"2 Misty/Cloudy",dataset3[[#This Row],[Weather sit]]=3,"3 Light Snow/Rain",dataset3[[#This Row],[Weather sit]]=4,"4 Heavy Snow/Rain")</f>
        <v>1 Clear</v>
      </c>
      <c r="J352" s="7">
        <v>0.2</v>
      </c>
      <c r="K352" s="7">
        <v>0.2273</v>
      </c>
      <c r="L352" s="7">
        <v>0.64</v>
      </c>
      <c r="M352" s="7">
        <v>0.1045</v>
      </c>
      <c r="N352" s="1">
        <v>5</v>
      </c>
      <c r="O352" s="1">
        <v>34</v>
      </c>
      <c r="P352" s="1">
        <v>39</v>
      </c>
      <c r="Q352" s="1" t="str" cm="1">
        <f t="array" ref="Q352">_xlfn.IFS(dataset3[[#This Row],[Windspeed]]&lt;=0.1,"0.00 -0.10",dataset3[[#This Row],[Windspeed]]&lt;=0.2,"0.10-0.20",dataset3[[#This Row],[Windspeed]]&lt;=0.3,"0.20-0.30",dataset3[[#This Row],[Windspeed]]&lt;=0.4,"0.30-0.40",dataset3[[#This Row],[Windspeed]]&lt;=0.5,"0.40-0.50",dataset3[[#This Row],[Windspeed]]&lt;=0.6,"0.50-0.60")</f>
        <v>0.10-0.20</v>
      </c>
      <c r="R352" s="1" t="str" cm="1">
        <f t="array" ref="R35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53" spans="1:18" x14ac:dyDescent="0.25">
      <c r="A353" s="1">
        <v>971</v>
      </c>
      <c r="B353" s="3">
        <v>40587</v>
      </c>
      <c r="C353" s="1">
        <v>1</v>
      </c>
      <c r="D353" s="1">
        <v>1</v>
      </c>
      <c r="E353" s="1" t="s">
        <v>27</v>
      </c>
      <c r="F353" s="1">
        <v>0</v>
      </c>
      <c r="G353" s="1">
        <v>1</v>
      </c>
      <c r="H353" s="1" t="str">
        <f t="shared" si="5"/>
        <v>Sunday</v>
      </c>
      <c r="I353" s="1" t="str" cm="1">
        <f t="array" ref="I353">_xlfn.IFS(dataset3[[#This Row],[Weather sit]]=1,"1 Clear",dataset3[[#This Row],[Weather sit]]=2,"2 Misty/Cloudy",dataset3[[#This Row],[Weather sit]]=3,"3 Light Snow/Rain",dataset3[[#This Row],[Weather sit]]=4,"4 Heavy Snow/Rain")</f>
        <v>1 Clear</v>
      </c>
      <c r="J353" s="7">
        <v>0.2</v>
      </c>
      <c r="K353" s="7">
        <v>0.2273</v>
      </c>
      <c r="L353" s="7">
        <v>0.59</v>
      </c>
      <c r="M353" s="7">
        <v>8.9599999999999999E-2</v>
      </c>
      <c r="N353" s="1">
        <v>1</v>
      </c>
      <c r="O353" s="1">
        <v>23</v>
      </c>
      <c r="P353" s="1">
        <v>24</v>
      </c>
      <c r="Q353" s="1" t="str" cm="1">
        <f t="array" ref="Q353">_xlfn.IFS(dataset3[[#This Row],[Windspeed]]&lt;=0.1,"0.00 -0.10",dataset3[[#This Row],[Windspeed]]&lt;=0.2,"0.10-0.20",dataset3[[#This Row],[Windspeed]]&lt;=0.3,"0.20-0.30",dataset3[[#This Row],[Windspeed]]&lt;=0.4,"0.30-0.40",dataset3[[#This Row],[Windspeed]]&lt;=0.5,"0.40-0.50",dataset3[[#This Row],[Windspeed]]&lt;=0.6,"0.50-0.60")</f>
        <v>0.00 -0.10</v>
      </c>
      <c r="R353" s="1" t="str" cm="1">
        <f t="array" ref="R35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354" spans="1:18" x14ac:dyDescent="0.25">
      <c r="A354" s="1">
        <v>972</v>
      </c>
      <c r="B354" s="3">
        <v>40587</v>
      </c>
      <c r="C354" s="1">
        <v>1</v>
      </c>
      <c r="D354" s="1">
        <v>2</v>
      </c>
      <c r="E354" s="1" t="s">
        <v>27</v>
      </c>
      <c r="F354" s="1">
        <v>0</v>
      </c>
      <c r="G354" s="1">
        <v>2</v>
      </c>
      <c r="H354" s="1" t="str">
        <f t="shared" si="5"/>
        <v>Sunday</v>
      </c>
      <c r="I354" s="1" t="str" cm="1">
        <f t="array" ref="I354">_xlfn.IFS(dataset3[[#This Row],[Weather sit]]=1,"1 Clear",dataset3[[#This Row],[Weather sit]]=2,"2 Misty/Cloudy",dataset3[[#This Row],[Weather sit]]=3,"3 Light Snow/Rain",dataset3[[#This Row],[Weather sit]]=4,"4 Heavy Snow/Rain")</f>
        <v>2 Misty/Cloudy</v>
      </c>
      <c r="J354" s="7">
        <v>0.2</v>
      </c>
      <c r="K354" s="7">
        <v>0.2273</v>
      </c>
      <c r="L354" s="7">
        <v>0.75</v>
      </c>
      <c r="M354" s="7">
        <v>8.9599999999999999E-2</v>
      </c>
      <c r="N354" s="1">
        <v>1</v>
      </c>
      <c r="O354" s="1">
        <v>19</v>
      </c>
      <c r="P354" s="1">
        <v>20</v>
      </c>
      <c r="Q354" s="1" t="str" cm="1">
        <f t="array" ref="Q354">_xlfn.IFS(dataset3[[#This Row],[Windspeed]]&lt;=0.1,"0.00 -0.10",dataset3[[#This Row],[Windspeed]]&lt;=0.2,"0.10-0.20",dataset3[[#This Row],[Windspeed]]&lt;=0.3,"0.20-0.30",dataset3[[#This Row],[Windspeed]]&lt;=0.4,"0.30-0.40",dataset3[[#This Row],[Windspeed]]&lt;=0.5,"0.40-0.50",dataset3[[#This Row],[Windspeed]]&lt;=0.6,"0.50-0.60")</f>
        <v>0.00 -0.10</v>
      </c>
      <c r="R354" s="1" t="str" cm="1">
        <f t="array" ref="R35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55" spans="1:18" x14ac:dyDescent="0.25">
      <c r="A355" s="1">
        <v>973</v>
      </c>
      <c r="B355" s="3">
        <v>40587</v>
      </c>
      <c r="C355" s="1">
        <v>1</v>
      </c>
      <c r="D355" s="1">
        <v>3</v>
      </c>
      <c r="E355" s="1" t="s">
        <v>27</v>
      </c>
      <c r="F355" s="1">
        <v>0</v>
      </c>
      <c r="G355" s="1">
        <v>2</v>
      </c>
      <c r="H355" s="1" t="str">
        <f t="shared" si="5"/>
        <v>Sunday</v>
      </c>
      <c r="I355" s="1" t="str" cm="1">
        <f t="array" ref="I355">_xlfn.IFS(dataset3[[#This Row],[Weather sit]]=1,"1 Clear",dataset3[[#This Row],[Weather sit]]=2,"2 Misty/Cloudy",dataset3[[#This Row],[Weather sit]]=3,"3 Light Snow/Rain",dataset3[[#This Row],[Weather sit]]=4,"4 Heavy Snow/Rain")</f>
        <v>2 Misty/Cloudy</v>
      </c>
      <c r="J355" s="7">
        <v>0.2</v>
      </c>
      <c r="K355" s="7">
        <v>0.2273</v>
      </c>
      <c r="L355" s="7">
        <v>0.69</v>
      </c>
      <c r="M355" s="7">
        <v>0.1045</v>
      </c>
      <c r="N355" s="1">
        <v>4</v>
      </c>
      <c r="O355" s="1">
        <v>8</v>
      </c>
      <c r="P355" s="1">
        <v>12</v>
      </c>
      <c r="Q355" s="1" t="str" cm="1">
        <f t="array" ref="Q355">_xlfn.IFS(dataset3[[#This Row],[Windspeed]]&lt;=0.1,"0.00 -0.10",dataset3[[#This Row],[Windspeed]]&lt;=0.2,"0.10-0.20",dataset3[[#This Row],[Windspeed]]&lt;=0.3,"0.20-0.30",dataset3[[#This Row],[Windspeed]]&lt;=0.4,"0.30-0.40",dataset3[[#This Row],[Windspeed]]&lt;=0.5,"0.40-0.50",dataset3[[#This Row],[Windspeed]]&lt;=0.6,"0.50-0.60")</f>
        <v>0.10-0.20</v>
      </c>
      <c r="R355" s="1" t="str" cm="1">
        <f t="array" ref="R35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56" spans="1:18" x14ac:dyDescent="0.25">
      <c r="A356" s="1">
        <v>974</v>
      </c>
      <c r="B356" s="3">
        <v>40587</v>
      </c>
      <c r="C356" s="1">
        <v>1</v>
      </c>
      <c r="D356" s="1">
        <v>4</v>
      </c>
      <c r="E356" s="1" t="s">
        <v>27</v>
      </c>
      <c r="F356" s="1">
        <v>0</v>
      </c>
      <c r="G356" s="1">
        <v>2</v>
      </c>
      <c r="H356" s="1" t="str">
        <f t="shared" si="5"/>
        <v>Sunday</v>
      </c>
      <c r="I356" s="1" t="str" cm="1">
        <f t="array" ref="I356">_xlfn.IFS(dataset3[[#This Row],[Weather sit]]=1,"1 Clear",dataset3[[#This Row],[Weather sit]]=2,"2 Misty/Cloudy",dataset3[[#This Row],[Weather sit]]=3,"3 Light Snow/Rain",dataset3[[#This Row],[Weather sit]]=4,"4 Heavy Snow/Rain")</f>
        <v>2 Misty/Cloudy</v>
      </c>
      <c r="J356" s="7">
        <v>0.2</v>
      </c>
      <c r="K356" s="7">
        <v>0.21210000000000001</v>
      </c>
      <c r="L356" s="7">
        <v>0.69</v>
      </c>
      <c r="M356" s="7">
        <v>0.16420000000000001</v>
      </c>
      <c r="N356" s="1">
        <v>0</v>
      </c>
      <c r="O356" s="1">
        <v>2</v>
      </c>
      <c r="P356" s="1">
        <v>2</v>
      </c>
      <c r="Q356" s="1" t="str" cm="1">
        <f t="array" ref="Q356">_xlfn.IFS(dataset3[[#This Row],[Windspeed]]&lt;=0.1,"0.00 -0.10",dataset3[[#This Row],[Windspeed]]&lt;=0.2,"0.10-0.20",dataset3[[#This Row],[Windspeed]]&lt;=0.3,"0.20-0.30",dataset3[[#This Row],[Windspeed]]&lt;=0.4,"0.30-0.40",dataset3[[#This Row],[Windspeed]]&lt;=0.5,"0.40-0.50",dataset3[[#This Row],[Windspeed]]&lt;=0.6,"0.50-0.60")</f>
        <v>0.10-0.20</v>
      </c>
      <c r="R356" s="1" t="str" cm="1">
        <f t="array" ref="R35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57" spans="1:18" x14ac:dyDescent="0.25">
      <c r="A357" s="1">
        <v>975</v>
      </c>
      <c r="B357" s="3">
        <v>40587</v>
      </c>
      <c r="C357" s="1">
        <v>1</v>
      </c>
      <c r="D357" s="1">
        <v>6</v>
      </c>
      <c r="E357" s="1" t="s">
        <v>27</v>
      </c>
      <c r="F357" s="1">
        <v>0</v>
      </c>
      <c r="G357" s="1">
        <v>2</v>
      </c>
      <c r="H357" s="1" t="str">
        <f t="shared" si="5"/>
        <v>Sunday</v>
      </c>
      <c r="I357" s="1" t="str" cm="1">
        <f t="array" ref="I357">_xlfn.IFS(dataset3[[#This Row],[Weather sit]]=1,"1 Clear",dataset3[[#This Row],[Weather sit]]=2,"2 Misty/Cloudy",dataset3[[#This Row],[Weather sit]]=3,"3 Light Snow/Rain",dataset3[[#This Row],[Weather sit]]=4,"4 Heavy Snow/Rain")</f>
        <v>2 Misty/Cloudy</v>
      </c>
      <c r="J357" s="7">
        <v>0.2</v>
      </c>
      <c r="K357" s="7">
        <v>0.21210000000000001</v>
      </c>
      <c r="L357" s="7">
        <v>0.69</v>
      </c>
      <c r="M357" s="7">
        <v>0.1343</v>
      </c>
      <c r="N357" s="1">
        <v>2</v>
      </c>
      <c r="O357" s="1">
        <v>3</v>
      </c>
      <c r="P357" s="1">
        <v>5</v>
      </c>
      <c r="Q357" s="1" t="str" cm="1">
        <f t="array" ref="Q357">_xlfn.IFS(dataset3[[#This Row],[Windspeed]]&lt;=0.1,"0.00 -0.10",dataset3[[#This Row],[Windspeed]]&lt;=0.2,"0.10-0.20",dataset3[[#This Row],[Windspeed]]&lt;=0.3,"0.20-0.30",dataset3[[#This Row],[Windspeed]]&lt;=0.4,"0.30-0.40",dataset3[[#This Row],[Windspeed]]&lt;=0.5,"0.40-0.50",dataset3[[#This Row],[Windspeed]]&lt;=0.6,"0.50-0.60")</f>
        <v>0.10-0.20</v>
      </c>
      <c r="R357" s="1" t="str" cm="1">
        <f t="array" ref="R35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58" spans="1:18" x14ac:dyDescent="0.25">
      <c r="A358" s="1">
        <v>976</v>
      </c>
      <c r="B358" s="3">
        <v>40587</v>
      </c>
      <c r="C358" s="1">
        <v>1</v>
      </c>
      <c r="D358" s="1">
        <v>7</v>
      </c>
      <c r="E358" s="1" t="s">
        <v>27</v>
      </c>
      <c r="F358" s="1">
        <v>0</v>
      </c>
      <c r="G358" s="1">
        <v>2</v>
      </c>
      <c r="H358" s="1" t="str">
        <f t="shared" si="5"/>
        <v>Sunday</v>
      </c>
      <c r="I358" s="1" t="str" cm="1">
        <f t="array" ref="I358">_xlfn.IFS(dataset3[[#This Row],[Weather sit]]=1,"1 Clear",dataset3[[#This Row],[Weather sit]]=2,"2 Misty/Cloudy",dataset3[[#This Row],[Weather sit]]=3,"3 Light Snow/Rain",dataset3[[#This Row],[Weather sit]]=4,"4 Heavy Snow/Rain")</f>
        <v>2 Misty/Cloudy</v>
      </c>
      <c r="J358" s="7">
        <v>0.22</v>
      </c>
      <c r="K358" s="7">
        <v>0.2727</v>
      </c>
      <c r="L358" s="7">
        <v>0.55000000000000004</v>
      </c>
      <c r="M358" s="7">
        <v>0</v>
      </c>
      <c r="N358" s="1">
        <v>0</v>
      </c>
      <c r="O358" s="1">
        <v>3</v>
      </c>
      <c r="P358" s="1">
        <v>3</v>
      </c>
      <c r="Q358" s="1" t="str" cm="1">
        <f t="array" ref="Q358">_xlfn.IFS(dataset3[[#This Row],[Windspeed]]&lt;=0.1,"0.00 -0.10",dataset3[[#This Row],[Windspeed]]&lt;=0.2,"0.10-0.20",dataset3[[#This Row],[Windspeed]]&lt;=0.3,"0.20-0.30",dataset3[[#This Row],[Windspeed]]&lt;=0.4,"0.30-0.40",dataset3[[#This Row],[Windspeed]]&lt;=0.5,"0.40-0.50",dataset3[[#This Row],[Windspeed]]&lt;=0.6,"0.50-0.60")</f>
        <v>0.00 -0.10</v>
      </c>
      <c r="R358" s="1" t="str" cm="1">
        <f t="array" ref="R35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359" spans="1:18" x14ac:dyDescent="0.25">
      <c r="A359" s="1">
        <v>977</v>
      </c>
      <c r="B359" s="3">
        <v>40587</v>
      </c>
      <c r="C359" s="1">
        <v>1</v>
      </c>
      <c r="D359" s="1">
        <v>8</v>
      </c>
      <c r="E359" s="1" t="s">
        <v>27</v>
      </c>
      <c r="F359" s="1">
        <v>0</v>
      </c>
      <c r="G359" s="1">
        <v>2</v>
      </c>
      <c r="H359" s="1" t="str">
        <f t="shared" si="5"/>
        <v>Sunday</v>
      </c>
      <c r="I359" s="1" t="str" cm="1">
        <f t="array" ref="I359">_xlfn.IFS(dataset3[[#This Row],[Weather sit]]=1,"1 Clear",dataset3[[#This Row],[Weather sit]]=2,"2 Misty/Cloudy",dataset3[[#This Row],[Weather sit]]=3,"3 Light Snow/Rain",dataset3[[#This Row],[Weather sit]]=4,"4 Heavy Snow/Rain")</f>
        <v>2 Misty/Cloudy</v>
      </c>
      <c r="J359" s="7">
        <v>0.22</v>
      </c>
      <c r="K359" s="7">
        <v>0.2273</v>
      </c>
      <c r="L359" s="7">
        <v>0.64</v>
      </c>
      <c r="M359" s="7">
        <v>0.19400000000000001</v>
      </c>
      <c r="N359" s="1">
        <v>1</v>
      </c>
      <c r="O359" s="1">
        <v>11</v>
      </c>
      <c r="P359" s="1">
        <v>12</v>
      </c>
      <c r="Q359" s="1" t="str" cm="1">
        <f t="array" ref="Q359">_xlfn.IFS(dataset3[[#This Row],[Windspeed]]&lt;=0.1,"0.00 -0.10",dataset3[[#This Row],[Windspeed]]&lt;=0.2,"0.10-0.20",dataset3[[#This Row],[Windspeed]]&lt;=0.3,"0.20-0.30",dataset3[[#This Row],[Windspeed]]&lt;=0.4,"0.30-0.40",dataset3[[#This Row],[Windspeed]]&lt;=0.5,"0.40-0.50",dataset3[[#This Row],[Windspeed]]&lt;=0.6,"0.50-0.60")</f>
        <v>0.10-0.20</v>
      </c>
      <c r="R359" s="1" t="str" cm="1">
        <f t="array" ref="R35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60" spans="1:18" x14ac:dyDescent="0.25">
      <c r="A360" s="1">
        <v>978</v>
      </c>
      <c r="B360" s="3">
        <v>40587</v>
      </c>
      <c r="C360" s="1">
        <v>1</v>
      </c>
      <c r="D360" s="1">
        <v>9</v>
      </c>
      <c r="E360" s="1" t="s">
        <v>27</v>
      </c>
      <c r="F360" s="1">
        <v>0</v>
      </c>
      <c r="G360" s="1">
        <v>2</v>
      </c>
      <c r="H360" s="1" t="str">
        <f t="shared" si="5"/>
        <v>Sunday</v>
      </c>
      <c r="I360" s="1" t="str" cm="1">
        <f t="array" ref="I360">_xlfn.IFS(dataset3[[#This Row],[Weather sit]]=1,"1 Clear",dataset3[[#This Row],[Weather sit]]=2,"2 Misty/Cloudy",dataset3[[#This Row],[Weather sit]]=3,"3 Light Snow/Rain",dataset3[[#This Row],[Weather sit]]=4,"4 Heavy Snow/Rain")</f>
        <v>2 Misty/Cloudy</v>
      </c>
      <c r="J360" s="7">
        <v>0.24</v>
      </c>
      <c r="K360" s="7">
        <v>0.2273</v>
      </c>
      <c r="L360" s="7">
        <v>0.6</v>
      </c>
      <c r="M360" s="7">
        <v>0.22389999999999999</v>
      </c>
      <c r="N360" s="1">
        <v>12</v>
      </c>
      <c r="O360" s="1">
        <v>35</v>
      </c>
      <c r="P360" s="1">
        <v>47</v>
      </c>
      <c r="Q360" s="1" t="str" cm="1">
        <f t="array" ref="Q360">_xlfn.IFS(dataset3[[#This Row],[Windspeed]]&lt;=0.1,"0.00 -0.10",dataset3[[#This Row],[Windspeed]]&lt;=0.2,"0.10-0.20",dataset3[[#This Row],[Windspeed]]&lt;=0.3,"0.20-0.30",dataset3[[#This Row],[Windspeed]]&lt;=0.4,"0.30-0.40",dataset3[[#This Row],[Windspeed]]&lt;=0.5,"0.40-0.50",dataset3[[#This Row],[Windspeed]]&lt;=0.6,"0.50-0.60")</f>
        <v>0.20-0.30</v>
      </c>
      <c r="R360" s="1" t="str" cm="1">
        <f t="array" ref="R36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361" spans="1:18" x14ac:dyDescent="0.25">
      <c r="A361" s="1">
        <v>979</v>
      </c>
      <c r="B361" s="3">
        <v>40587</v>
      </c>
      <c r="C361" s="1">
        <v>1</v>
      </c>
      <c r="D361" s="1">
        <v>10</v>
      </c>
      <c r="E361" s="1" t="s">
        <v>27</v>
      </c>
      <c r="F361" s="1">
        <v>0</v>
      </c>
      <c r="G361" s="1">
        <v>1</v>
      </c>
      <c r="H361" s="1" t="str">
        <f t="shared" si="5"/>
        <v>Sunday</v>
      </c>
      <c r="I361" s="1" t="str" cm="1">
        <f t="array" ref="I361">_xlfn.IFS(dataset3[[#This Row],[Weather sit]]=1,"1 Clear",dataset3[[#This Row],[Weather sit]]=2,"2 Misty/Cloudy",dataset3[[#This Row],[Weather sit]]=3,"3 Light Snow/Rain",dataset3[[#This Row],[Weather sit]]=4,"4 Heavy Snow/Rain")</f>
        <v>1 Clear</v>
      </c>
      <c r="J361" s="7">
        <v>0.3</v>
      </c>
      <c r="K361" s="7">
        <v>0.2727</v>
      </c>
      <c r="L361" s="7">
        <v>0.45</v>
      </c>
      <c r="M361" s="7">
        <v>0.32840000000000003</v>
      </c>
      <c r="N361" s="1">
        <v>19</v>
      </c>
      <c r="O361" s="1">
        <v>86</v>
      </c>
      <c r="P361" s="1">
        <v>105</v>
      </c>
      <c r="Q361" s="1" t="str" cm="1">
        <f t="array" ref="Q361">_xlfn.IFS(dataset3[[#This Row],[Windspeed]]&lt;=0.1,"0.00 -0.10",dataset3[[#This Row],[Windspeed]]&lt;=0.2,"0.10-0.20",dataset3[[#This Row],[Windspeed]]&lt;=0.3,"0.20-0.30",dataset3[[#This Row],[Windspeed]]&lt;=0.4,"0.30-0.40",dataset3[[#This Row],[Windspeed]]&lt;=0.5,"0.40-0.50",dataset3[[#This Row],[Windspeed]]&lt;=0.6,"0.50-0.60")</f>
        <v>0.30-0.40</v>
      </c>
      <c r="R361" s="1" t="str" cm="1">
        <f t="array" ref="R36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362" spans="1:18" x14ac:dyDescent="0.25">
      <c r="A362" s="1">
        <v>980</v>
      </c>
      <c r="B362" s="3">
        <v>40587</v>
      </c>
      <c r="C362" s="1">
        <v>1</v>
      </c>
      <c r="D362" s="1">
        <v>11</v>
      </c>
      <c r="E362" s="1" t="s">
        <v>27</v>
      </c>
      <c r="F362" s="1">
        <v>0</v>
      </c>
      <c r="G362" s="1">
        <v>1</v>
      </c>
      <c r="H362" s="1" t="str">
        <f t="shared" si="5"/>
        <v>Sunday</v>
      </c>
      <c r="I362" s="1" t="str" cm="1">
        <f t="array" ref="I362">_xlfn.IFS(dataset3[[#This Row],[Weather sit]]=1,"1 Clear",dataset3[[#This Row],[Weather sit]]=2,"2 Misty/Cloudy",dataset3[[#This Row],[Weather sit]]=3,"3 Light Snow/Rain",dataset3[[#This Row],[Weather sit]]=4,"4 Heavy Snow/Rain")</f>
        <v>1 Clear</v>
      </c>
      <c r="J362" s="7">
        <v>0.32</v>
      </c>
      <c r="K362" s="7">
        <v>0.28789999999999999</v>
      </c>
      <c r="L362" s="7">
        <v>0.39</v>
      </c>
      <c r="M362" s="7">
        <v>0.44779999999999998</v>
      </c>
      <c r="N362" s="1">
        <v>26</v>
      </c>
      <c r="O362" s="1">
        <v>86</v>
      </c>
      <c r="P362" s="1">
        <v>112</v>
      </c>
      <c r="Q362" s="1" t="str" cm="1">
        <f t="array" ref="Q362">_xlfn.IFS(dataset3[[#This Row],[Windspeed]]&lt;=0.1,"0.00 -0.10",dataset3[[#This Row],[Windspeed]]&lt;=0.2,"0.10-0.20",dataset3[[#This Row],[Windspeed]]&lt;=0.3,"0.20-0.30",dataset3[[#This Row],[Windspeed]]&lt;=0.4,"0.30-0.40",dataset3[[#This Row],[Windspeed]]&lt;=0.5,"0.40-0.50",dataset3[[#This Row],[Windspeed]]&lt;=0.6,"0.50-0.60")</f>
        <v>0.40-0.50</v>
      </c>
      <c r="R362" s="1" t="str" cm="1">
        <f t="array" ref="R36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63" spans="1:18" x14ac:dyDescent="0.25">
      <c r="A363" s="1">
        <v>981</v>
      </c>
      <c r="B363" s="3">
        <v>40587</v>
      </c>
      <c r="C363" s="1">
        <v>1</v>
      </c>
      <c r="D363" s="1">
        <v>12</v>
      </c>
      <c r="E363" s="1" t="s">
        <v>27</v>
      </c>
      <c r="F363" s="1">
        <v>0</v>
      </c>
      <c r="G363" s="1">
        <v>1</v>
      </c>
      <c r="H363" s="1" t="str">
        <f t="shared" si="5"/>
        <v>Sunday</v>
      </c>
      <c r="I363" s="1" t="str" cm="1">
        <f t="array" ref="I363">_xlfn.IFS(dataset3[[#This Row],[Weather sit]]=1,"1 Clear",dataset3[[#This Row],[Weather sit]]=2,"2 Misty/Cloudy",dataset3[[#This Row],[Weather sit]]=3,"3 Light Snow/Rain",dataset3[[#This Row],[Weather sit]]=4,"4 Heavy Snow/Rain")</f>
        <v>1 Clear</v>
      </c>
      <c r="J363" s="7">
        <v>0.36</v>
      </c>
      <c r="K363" s="7">
        <v>0.31819999999999998</v>
      </c>
      <c r="L363" s="7">
        <v>0.32</v>
      </c>
      <c r="M363" s="7">
        <v>0.4627</v>
      </c>
      <c r="N363" s="1">
        <v>58</v>
      </c>
      <c r="O363" s="1">
        <v>94</v>
      </c>
      <c r="P363" s="1">
        <v>152</v>
      </c>
      <c r="Q363" s="1" t="str" cm="1">
        <f t="array" ref="Q363">_xlfn.IFS(dataset3[[#This Row],[Windspeed]]&lt;=0.1,"0.00 -0.10",dataset3[[#This Row],[Windspeed]]&lt;=0.2,"0.10-0.20",dataset3[[#This Row],[Windspeed]]&lt;=0.3,"0.20-0.30",dataset3[[#This Row],[Windspeed]]&lt;=0.4,"0.30-0.40",dataset3[[#This Row],[Windspeed]]&lt;=0.5,"0.40-0.50",dataset3[[#This Row],[Windspeed]]&lt;=0.6,"0.50-0.60")</f>
        <v>0.40-0.50</v>
      </c>
      <c r="R363" s="1" t="str" cm="1">
        <f t="array" ref="R36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64" spans="1:18" x14ac:dyDescent="0.25">
      <c r="A364" s="1">
        <v>982</v>
      </c>
      <c r="B364" s="3">
        <v>40587</v>
      </c>
      <c r="C364" s="1">
        <v>1</v>
      </c>
      <c r="D364" s="1">
        <v>13</v>
      </c>
      <c r="E364" s="1" t="s">
        <v>27</v>
      </c>
      <c r="F364" s="1">
        <v>0</v>
      </c>
      <c r="G364" s="1">
        <v>1</v>
      </c>
      <c r="H364" s="1" t="str">
        <f t="shared" si="5"/>
        <v>Sunday</v>
      </c>
      <c r="I364" s="1" t="str" cm="1">
        <f t="array" ref="I364">_xlfn.IFS(dataset3[[#This Row],[Weather sit]]=1,"1 Clear",dataset3[[#This Row],[Weather sit]]=2,"2 Misty/Cloudy",dataset3[[#This Row],[Weather sit]]=3,"3 Light Snow/Rain",dataset3[[#This Row],[Weather sit]]=4,"4 Heavy Snow/Rain")</f>
        <v>1 Clear</v>
      </c>
      <c r="J364" s="7">
        <v>0.38</v>
      </c>
      <c r="K364" s="7">
        <v>0.39389999999999997</v>
      </c>
      <c r="L364" s="7">
        <v>0.28999999999999998</v>
      </c>
      <c r="M364" s="7">
        <v>0.35820000000000002</v>
      </c>
      <c r="N364" s="1">
        <v>62</v>
      </c>
      <c r="O364" s="1">
        <v>92</v>
      </c>
      <c r="P364" s="1">
        <v>154</v>
      </c>
      <c r="Q364" s="1" t="str" cm="1">
        <f t="array" ref="Q364">_xlfn.IFS(dataset3[[#This Row],[Windspeed]]&lt;=0.1,"0.00 -0.10",dataset3[[#This Row],[Windspeed]]&lt;=0.2,"0.10-0.20",dataset3[[#This Row],[Windspeed]]&lt;=0.3,"0.20-0.30",dataset3[[#This Row],[Windspeed]]&lt;=0.4,"0.30-0.40",dataset3[[#This Row],[Windspeed]]&lt;=0.5,"0.40-0.50",dataset3[[#This Row],[Windspeed]]&lt;=0.6,"0.50-0.60")</f>
        <v>0.30-0.40</v>
      </c>
      <c r="R364" s="1" t="str" cm="1">
        <f t="array" ref="R36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65" spans="1:18" x14ac:dyDescent="0.25">
      <c r="A365" s="1">
        <v>983</v>
      </c>
      <c r="B365" s="3">
        <v>40587</v>
      </c>
      <c r="C365" s="1">
        <v>1</v>
      </c>
      <c r="D365" s="1">
        <v>14</v>
      </c>
      <c r="E365" s="1" t="s">
        <v>27</v>
      </c>
      <c r="F365" s="1">
        <v>0</v>
      </c>
      <c r="G365" s="1">
        <v>2</v>
      </c>
      <c r="H365" s="1" t="str">
        <f t="shared" si="5"/>
        <v>Sunday</v>
      </c>
      <c r="I365" s="1" t="str" cm="1">
        <f t="array" ref="I365">_xlfn.IFS(dataset3[[#This Row],[Weather sit]]=1,"1 Clear",dataset3[[#This Row],[Weather sit]]=2,"2 Misty/Cloudy",dataset3[[#This Row],[Weather sit]]=3,"3 Light Snow/Rain",dataset3[[#This Row],[Weather sit]]=4,"4 Heavy Snow/Rain")</f>
        <v>2 Misty/Cloudy</v>
      </c>
      <c r="J365" s="7">
        <v>0.4</v>
      </c>
      <c r="K365" s="7">
        <v>0.40910000000000002</v>
      </c>
      <c r="L365" s="7">
        <v>0.3</v>
      </c>
      <c r="M365" s="7">
        <v>0.41789999999999999</v>
      </c>
      <c r="N365" s="1">
        <v>51</v>
      </c>
      <c r="O365" s="1">
        <v>110</v>
      </c>
      <c r="P365" s="1">
        <v>161</v>
      </c>
      <c r="Q365" s="1" t="str" cm="1">
        <f t="array" ref="Q365">_xlfn.IFS(dataset3[[#This Row],[Windspeed]]&lt;=0.1,"0.00 -0.10",dataset3[[#This Row],[Windspeed]]&lt;=0.2,"0.10-0.20",dataset3[[#This Row],[Windspeed]]&lt;=0.3,"0.20-0.30",dataset3[[#This Row],[Windspeed]]&lt;=0.4,"0.30-0.40",dataset3[[#This Row],[Windspeed]]&lt;=0.5,"0.40-0.50",dataset3[[#This Row],[Windspeed]]&lt;=0.6,"0.50-0.60")</f>
        <v>0.40-0.50</v>
      </c>
      <c r="R365" s="1" t="str" cm="1">
        <f t="array" ref="R36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66" spans="1:18" x14ac:dyDescent="0.25">
      <c r="A366" s="1">
        <v>984</v>
      </c>
      <c r="B366" s="3">
        <v>40587</v>
      </c>
      <c r="C366" s="1">
        <v>1</v>
      </c>
      <c r="D366" s="1">
        <v>15</v>
      </c>
      <c r="E366" s="1" t="s">
        <v>27</v>
      </c>
      <c r="F366" s="1">
        <v>0</v>
      </c>
      <c r="G366" s="1">
        <v>2</v>
      </c>
      <c r="H366" s="1" t="str">
        <f t="shared" si="5"/>
        <v>Sunday</v>
      </c>
      <c r="I366" s="1" t="str" cm="1">
        <f t="array" ref="I366">_xlfn.IFS(dataset3[[#This Row],[Weather sit]]=1,"1 Clear",dataset3[[#This Row],[Weather sit]]=2,"2 Misty/Cloudy",dataset3[[#This Row],[Weather sit]]=3,"3 Light Snow/Rain",dataset3[[#This Row],[Weather sit]]=4,"4 Heavy Snow/Rain")</f>
        <v>2 Misty/Cloudy</v>
      </c>
      <c r="J366" s="7">
        <v>0.4</v>
      </c>
      <c r="K366" s="7">
        <v>0.40910000000000002</v>
      </c>
      <c r="L366" s="7">
        <v>0.3</v>
      </c>
      <c r="M366" s="7">
        <v>0.29849999999999999</v>
      </c>
      <c r="N366" s="1">
        <v>40</v>
      </c>
      <c r="O366" s="1">
        <v>122</v>
      </c>
      <c r="P366" s="1">
        <v>162</v>
      </c>
      <c r="Q366" s="1" t="str" cm="1">
        <f t="array" ref="Q366">_xlfn.IFS(dataset3[[#This Row],[Windspeed]]&lt;=0.1,"0.00 -0.10",dataset3[[#This Row],[Windspeed]]&lt;=0.2,"0.10-0.20",dataset3[[#This Row],[Windspeed]]&lt;=0.3,"0.20-0.30",dataset3[[#This Row],[Windspeed]]&lt;=0.4,"0.30-0.40",dataset3[[#This Row],[Windspeed]]&lt;=0.5,"0.40-0.50",dataset3[[#This Row],[Windspeed]]&lt;=0.6,"0.50-0.60")</f>
        <v>0.20-0.30</v>
      </c>
      <c r="R366" s="1" t="str" cm="1">
        <f t="array" ref="R36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67" spans="1:18" x14ac:dyDescent="0.25">
      <c r="A367" s="1">
        <v>985</v>
      </c>
      <c r="B367" s="3">
        <v>40587</v>
      </c>
      <c r="C367" s="1">
        <v>1</v>
      </c>
      <c r="D367" s="1">
        <v>16</v>
      </c>
      <c r="E367" s="1" t="s">
        <v>27</v>
      </c>
      <c r="F367" s="1">
        <v>0</v>
      </c>
      <c r="G367" s="1">
        <v>2</v>
      </c>
      <c r="H367" s="1" t="str">
        <f t="shared" si="5"/>
        <v>Sunday</v>
      </c>
      <c r="I367" s="1" t="str" cm="1">
        <f t="array" ref="I367">_xlfn.IFS(dataset3[[#This Row],[Weather sit]]=1,"1 Clear",dataset3[[#This Row],[Weather sit]]=2,"2 Misty/Cloudy",dataset3[[#This Row],[Weather sit]]=3,"3 Light Snow/Rain",dataset3[[#This Row],[Weather sit]]=4,"4 Heavy Snow/Rain")</f>
        <v>2 Misty/Cloudy</v>
      </c>
      <c r="J367" s="7">
        <v>0.42</v>
      </c>
      <c r="K367" s="7">
        <v>0.42420000000000002</v>
      </c>
      <c r="L367" s="7">
        <v>0.28000000000000003</v>
      </c>
      <c r="M367" s="7">
        <v>0.32840000000000003</v>
      </c>
      <c r="N367" s="1">
        <v>28</v>
      </c>
      <c r="O367" s="1">
        <v>106</v>
      </c>
      <c r="P367" s="1">
        <v>134</v>
      </c>
      <c r="Q367" s="1" t="str" cm="1">
        <f t="array" ref="Q367">_xlfn.IFS(dataset3[[#This Row],[Windspeed]]&lt;=0.1,"0.00 -0.10",dataset3[[#This Row],[Windspeed]]&lt;=0.2,"0.10-0.20",dataset3[[#This Row],[Windspeed]]&lt;=0.3,"0.20-0.30",dataset3[[#This Row],[Windspeed]]&lt;=0.4,"0.30-0.40",dataset3[[#This Row],[Windspeed]]&lt;=0.5,"0.40-0.50",dataset3[[#This Row],[Windspeed]]&lt;=0.6,"0.50-0.60")</f>
        <v>0.30-0.40</v>
      </c>
      <c r="R367" s="1" t="str" cm="1">
        <f t="array" ref="R36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68" spans="1:18" x14ac:dyDescent="0.25">
      <c r="A368" s="1">
        <v>986</v>
      </c>
      <c r="B368" s="3">
        <v>40587</v>
      </c>
      <c r="C368" s="1">
        <v>1</v>
      </c>
      <c r="D368" s="1">
        <v>17</v>
      </c>
      <c r="E368" s="1" t="s">
        <v>27</v>
      </c>
      <c r="F368" s="1">
        <v>0</v>
      </c>
      <c r="G368" s="1">
        <v>1</v>
      </c>
      <c r="H368" s="1" t="str">
        <f t="shared" si="5"/>
        <v>Sunday</v>
      </c>
      <c r="I368" s="1" t="str" cm="1">
        <f t="array" ref="I368">_xlfn.IFS(dataset3[[#This Row],[Weather sit]]=1,"1 Clear",dataset3[[#This Row],[Weather sit]]=2,"2 Misty/Cloudy",dataset3[[#This Row],[Weather sit]]=3,"3 Light Snow/Rain",dataset3[[#This Row],[Weather sit]]=4,"4 Heavy Snow/Rain")</f>
        <v>1 Clear</v>
      </c>
      <c r="J368" s="7">
        <v>0.42</v>
      </c>
      <c r="K368" s="7">
        <v>0.42420000000000002</v>
      </c>
      <c r="L368" s="7">
        <v>0.28000000000000003</v>
      </c>
      <c r="M368" s="7">
        <v>0.32840000000000003</v>
      </c>
      <c r="N368" s="1">
        <v>30</v>
      </c>
      <c r="O368" s="1">
        <v>95</v>
      </c>
      <c r="P368" s="1">
        <v>125</v>
      </c>
      <c r="Q368" s="1" t="str" cm="1">
        <f t="array" ref="Q368">_xlfn.IFS(dataset3[[#This Row],[Windspeed]]&lt;=0.1,"0.00 -0.10",dataset3[[#This Row],[Windspeed]]&lt;=0.2,"0.10-0.20",dataset3[[#This Row],[Windspeed]]&lt;=0.3,"0.20-0.30",dataset3[[#This Row],[Windspeed]]&lt;=0.4,"0.30-0.40",dataset3[[#This Row],[Windspeed]]&lt;=0.5,"0.40-0.50",dataset3[[#This Row],[Windspeed]]&lt;=0.6,"0.50-0.60")</f>
        <v>0.30-0.40</v>
      </c>
      <c r="R368" s="1" t="str" cm="1">
        <f t="array" ref="R36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0.20-0.30</v>
      </c>
    </row>
    <row r="369" spans="1:18" x14ac:dyDescent="0.25">
      <c r="A369" s="1">
        <v>987</v>
      </c>
      <c r="B369" s="3">
        <v>40587</v>
      </c>
      <c r="C369" s="1">
        <v>1</v>
      </c>
      <c r="D369" s="1">
        <v>18</v>
      </c>
      <c r="E369" s="1" t="s">
        <v>27</v>
      </c>
      <c r="F369" s="1">
        <v>0</v>
      </c>
      <c r="G369" s="1">
        <v>1</v>
      </c>
      <c r="H369" s="1" t="str">
        <f t="shared" si="5"/>
        <v>Sunday</v>
      </c>
      <c r="I369" s="1" t="str" cm="1">
        <f t="array" ref="I369">_xlfn.IFS(dataset3[[#This Row],[Weather sit]]=1,"1 Clear",dataset3[[#This Row],[Weather sit]]=2,"2 Misty/Cloudy",dataset3[[#This Row],[Weather sit]]=3,"3 Light Snow/Rain",dataset3[[#This Row],[Weather sit]]=4,"4 Heavy Snow/Rain")</f>
        <v>1 Clear</v>
      </c>
      <c r="J369" s="7">
        <v>0.4</v>
      </c>
      <c r="K369" s="7">
        <v>0.40910000000000002</v>
      </c>
      <c r="L369" s="7">
        <v>0.32</v>
      </c>
      <c r="M369" s="7">
        <v>0.29849999999999999</v>
      </c>
      <c r="N369" s="1">
        <v>17</v>
      </c>
      <c r="O369" s="1">
        <v>78</v>
      </c>
      <c r="P369" s="1">
        <v>95</v>
      </c>
      <c r="Q369" s="1" t="str" cm="1">
        <f t="array" ref="Q369">_xlfn.IFS(dataset3[[#This Row],[Windspeed]]&lt;=0.1,"0.00 -0.10",dataset3[[#This Row],[Windspeed]]&lt;=0.2,"0.10-0.20",dataset3[[#This Row],[Windspeed]]&lt;=0.3,"0.20-0.30",dataset3[[#This Row],[Windspeed]]&lt;=0.4,"0.30-0.40",dataset3[[#This Row],[Windspeed]]&lt;=0.5,"0.40-0.50",dataset3[[#This Row],[Windspeed]]&lt;=0.6,"0.50-0.60")</f>
        <v>0.20-0.30</v>
      </c>
      <c r="R369" s="1" t="str" cm="1">
        <f t="array" ref="R36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70" spans="1:18" x14ac:dyDescent="0.25">
      <c r="A370" s="1">
        <v>988</v>
      </c>
      <c r="B370" s="3">
        <v>40587</v>
      </c>
      <c r="C370" s="1">
        <v>1</v>
      </c>
      <c r="D370" s="1">
        <v>19</v>
      </c>
      <c r="E370" s="1" t="s">
        <v>27</v>
      </c>
      <c r="F370" s="1">
        <v>0</v>
      </c>
      <c r="G370" s="1">
        <v>1</v>
      </c>
      <c r="H370" s="1" t="str">
        <f t="shared" si="5"/>
        <v>Sunday</v>
      </c>
      <c r="I370" s="1" t="str" cm="1">
        <f t="array" ref="I370">_xlfn.IFS(dataset3[[#This Row],[Weather sit]]=1,"1 Clear",dataset3[[#This Row],[Weather sit]]=2,"2 Misty/Cloudy",dataset3[[#This Row],[Weather sit]]=3,"3 Light Snow/Rain",dataset3[[#This Row],[Weather sit]]=4,"4 Heavy Snow/Rain")</f>
        <v>1 Clear</v>
      </c>
      <c r="J370" s="7">
        <v>0.4</v>
      </c>
      <c r="K370" s="7">
        <v>0.40910000000000002</v>
      </c>
      <c r="L370" s="7">
        <v>0.35</v>
      </c>
      <c r="M370" s="7">
        <v>0.28360000000000002</v>
      </c>
      <c r="N370" s="1">
        <v>11</v>
      </c>
      <c r="O370" s="1">
        <v>50</v>
      </c>
      <c r="P370" s="1">
        <v>61</v>
      </c>
      <c r="Q370" s="1" t="str" cm="1">
        <f t="array" ref="Q370">_xlfn.IFS(dataset3[[#This Row],[Windspeed]]&lt;=0.1,"0.00 -0.10",dataset3[[#This Row],[Windspeed]]&lt;=0.2,"0.10-0.20",dataset3[[#This Row],[Windspeed]]&lt;=0.3,"0.20-0.30",dataset3[[#This Row],[Windspeed]]&lt;=0.4,"0.30-0.40",dataset3[[#This Row],[Windspeed]]&lt;=0.5,"0.40-0.50",dataset3[[#This Row],[Windspeed]]&lt;=0.6,"0.50-0.60")</f>
        <v>0.20-0.30</v>
      </c>
      <c r="R370" s="1" t="str" cm="1">
        <f t="array" ref="R37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71" spans="1:18" x14ac:dyDescent="0.25">
      <c r="A371" s="1">
        <v>989</v>
      </c>
      <c r="B371" s="3">
        <v>40587</v>
      </c>
      <c r="C371" s="1">
        <v>1</v>
      </c>
      <c r="D371" s="1">
        <v>20</v>
      </c>
      <c r="E371" s="1" t="s">
        <v>27</v>
      </c>
      <c r="F371" s="1">
        <v>0</v>
      </c>
      <c r="G371" s="1">
        <v>1</v>
      </c>
      <c r="H371" s="1" t="str">
        <f t="shared" si="5"/>
        <v>Sunday</v>
      </c>
      <c r="I371" s="1" t="str" cm="1">
        <f t="array" ref="I371">_xlfn.IFS(dataset3[[#This Row],[Weather sit]]=1,"1 Clear",dataset3[[#This Row],[Weather sit]]=2,"2 Misty/Cloudy",dataset3[[#This Row],[Weather sit]]=3,"3 Light Snow/Rain",dataset3[[#This Row],[Weather sit]]=4,"4 Heavy Snow/Rain")</f>
        <v>1 Clear</v>
      </c>
      <c r="J371" s="7">
        <v>0.4</v>
      </c>
      <c r="K371" s="7">
        <v>0.40910000000000002</v>
      </c>
      <c r="L371" s="7">
        <v>0.35</v>
      </c>
      <c r="M371" s="7">
        <v>0.32840000000000003</v>
      </c>
      <c r="N371" s="1">
        <v>15</v>
      </c>
      <c r="O371" s="1">
        <v>32</v>
      </c>
      <c r="P371" s="1">
        <v>47</v>
      </c>
      <c r="Q371" s="1" t="str" cm="1">
        <f t="array" ref="Q371">_xlfn.IFS(dataset3[[#This Row],[Windspeed]]&lt;=0.1,"0.00 -0.10",dataset3[[#This Row],[Windspeed]]&lt;=0.2,"0.10-0.20",dataset3[[#This Row],[Windspeed]]&lt;=0.3,"0.20-0.30",dataset3[[#This Row],[Windspeed]]&lt;=0.4,"0.30-0.40",dataset3[[#This Row],[Windspeed]]&lt;=0.5,"0.40-0.50",dataset3[[#This Row],[Windspeed]]&lt;=0.6,"0.50-0.60")</f>
        <v>0.30-0.40</v>
      </c>
      <c r="R371" s="1" t="str" cm="1">
        <f t="array" ref="R37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72" spans="1:18" x14ac:dyDescent="0.25">
      <c r="A372" s="1">
        <v>990</v>
      </c>
      <c r="B372" s="3">
        <v>40587</v>
      </c>
      <c r="C372" s="1">
        <v>1</v>
      </c>
      <c r="D372" s="1">
        <v>21</v>
      </c>
      <c r="E372" s="1" t="s">
        <v>27</v>
      </c>
      <c r="F372" s="1">
        <v>0</v>
      </c>
      <c r="G372" s="1">
        <v>1</v>
      </c>
      <c r="H372" s="1" t="str">
        <f t="shared" si="5"/>
        <v>Sunday</v>
      </c>
      <c r="I372" s="1" t="str" cm="1">
        <f t="array" ref="I372">_xlfn.IFS(dataset3[[#This Row],[Weather sit]]=1,"1 Clear",dataset3[[#This Row],[Weather sit]]=2,"2 Misty/Cloudy",dataset3[[#This Row],[Weather sit]]=3,"3 Light Snow/Rain",dataset3[[#This Row],[Weather sit]]=4,"4 Heavy Snow/Rain")</f>
        <v>1 Clear</v>
      </c>
      <c r="J372" s="7">
        <v>0.4</v>
      </c>
      <c r="K372" s="7">
        <v>0.40910000000000002</v>
      </c>
      <c r="L372" s="7">
        <v>0.35</v>
      </c>
      <c r="M372" s="7">
        <v>0.35820000000000002</v>
      </c>
      <c r="N372" s="1">
        <v>6</v>
      </c>
      <c r="O372" s="1">
        <v>45</v>
      </c>
      <c r="P372" s="1">
        <v>51</v>
      </c>
      <c r="Q372" s="1" t="str" cm="1">
        <f t="array" ref="Q372">_xlfn.IFS(dataset3[[#This Row],[Windspeed]]&lt;=0.1,"0.00 -0.10",dataset3[[#This Row],[Windspeed]]&lt;=0.2,"0.10-0.20",dataset3[[#This Row],[Windspeed]]&lt;=0.3,"0.20-0.30",dataset3[[#This Row],[Windspeed]]&lt;=0.4,"0.30-0.40",dataset3[[#This Row],[Windspeed]]&lt;=0.5,"0.40-0.50",dataset3[[#This Row],[Windspeed]]&lt;=0.6,"0.50-0.60")</f>
        <v>0.30-0.40</v>
      </c>
      <c r="R372" s="1" t="str" cm="1">
        <f t="array" ref="R37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73" spans="1:18" x14ac:dyDescent="0.25">
      <c r="A373" s="1">
        <v>991</v>
      </c>
      <c r="B373" s="3">
        <v>40587</v>
      </c>
      <c r="C373" s="1">
        <v>1</v>
      </c>
      <c r="D373" s="1">
        <v>22</v>
      </c>
      <c r="E373" s="1" t="s">
        <v>27</v>
      </c>
      <c r="F373" s="1">
        <v>0</v>
      </c>
      <c r="G373" s="1">
        <v>1</v>
      </c>
      <c r="H373" s="1" t="str">
        <f t="shared" si="5"/>
        <v>Sunday</v>
      </c>
      <c r="I373" s="1" t="str" cm="1">
        <f t="array" ref="I373">_xlfn.IFS(dataset3[[#This Row],[Weather sit]]=1,"1 Clear",dataset3[[#This Row],[Weather sit]]=2,"2 Misty/Cloudy",dataset3[[#This Row],[Weather sit]]=3,"3 Light Snow/Rain",dataset3[[#This Row],[Weather sit]]=4,"4 Heavy Snow/Rain")</f>
        <v>1 Clear</v>
      </c>
      <c r="J373" s="7">
        <v>0.4</v>
      </c>
      <c r="K373" s="7">
        <v>0.40910000000000002</v>
      </c>
      <c r="L373" s="7">
        <v>0.35</v>
      </c>
      <c r="M373" s="7">
        <v>0.29849999999999999</v>
      </c>
      <c r="N373" s="1">
        <v>5</v>
      </c>
      <c r="O373" s="1">
        <v>31</v>
      </c>
      <c r="P373" s="1">
        <v>36</v>
      </c>
      <c r="Q373" s="1" t="str" cm="1">
        <f t="array" ref="Q373">_xlfn.IFS(dataset3[[#This Row],[Windspeed]]&lt;=0.1,"0.00 -0.10",dataset3[[#This Row],[Windspeed]]&lt;=0.2,"0.10-0.20",dataset3[[#This Row],[Windspeed]]&lt;=0.3,"0.20-0.30",dataset3[[#This Row],[Windspeed]]&lt;=0.4,"0.30-0.40",dataset3[[#This Row],[Windspeed]]&lt;=0.5,"0.40-0.50",dataset3[[#This Row],[Windspeed]]&lt;=0.6,"0.50-0.60")</f>
        <v>0.20-0.30</v>
      </c>
      <c r="R373" s="1" t="str" cm="1">
        <f t="array" ref="R37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74" spans="1:18" x14ac:dyDescent="0.25">
      <c r="A374" s="1">
        <v>992</v>
      </c>
      <c r="B374" s="3">
        <v>40587</v>
      </c>
      <c r="C374" s="1">
        <v>1</v>
      </c>
      <c r="D374" s="1">
        <v>23</v>
      </c>
      <c r="E374" s="1" t="s">
        <v>27</v>
      </c>
      <c r="F374" s="1">
        <v>0</v>
      </c>
      <c r="G374" s="1">
        <v>1</v>
      </c>
      <c r="H374" s="1" t="str">
        <f t="shared" si="5"/>
        <v>Sunday</v>
      </c>
      <c r="I374" s="1" t="str" cm="1">
        <f t="array" ref="I374">_xlfn.IFS(dataset3[[#This Row],[Weather sit]]=1,"1 Clear",dataset3[[#This Row],[Weather sit]]=2,"2 Misty/Cloudy",dataset3[[#This Row],[Weather sit]]=3,"3 Light Snow/Rain",dataset3[[#This Row],[Weather sit]]=4,"4 Heavy Snow/Rain")</f>
        <v>1 Clear</v>
      </c>
      <c r="J374" s="7">
        <v>0.4</v>
      </c>
      <c r="K374" s="7">
        <v>0.40910000000000002</v>
      </c>
      <c r="L374" s="7">
        <v>0.35</v>
      </c>
      <c r="M374" s="7">
        <v>0.35820000000000002</v>
      </c>
      <c r="N374" s="1">
        <v>3</v>
      </c>
      <c r="O374" s="1">
        <v>27</v>
      </c>
      <c r="P374" s="1">
        <v>30</v>
      </c>
      <c r="Q374" s="1" t="str" cm="1">
        <f t="array" ref="Q374">_xlfn.IFS(dataset3[[#This Row],[Windspeed]]&lt;=0.1,"0.00 -0.10",dataset3[[#This Row],[Windspeed]]&lt;=0.2,"0.10-0.20",dataset3[[#This Row],[Windspeed]]&lt;=0.3,"0.20-0.30",dataset3[[#This Row],[Windspeed]]&lt;=0.4,"0.30-0.40",dataset3[[#This Row],[Windspeed]]&lt;=0.5,"0.40-0.50",dataset3[[#This Row],[Windspeed]]&lt;=0.6,"0.50-0.60")</f>
        <v>0.30-0.40</v>
      </c>
      <c r="R374" s="1" t="str" cm="1">
        <f t="array" ref="R37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75" spans="1:18" x14ac:dyDescent="0.25">
      <c r="A375" s="1">
        <v>993</v>
      </c>
      <c r="B375" s="3">
        <v>40588</v>
      </c>
      <c r="C375" s="1">
        <v>1</v>
      </c>
      <c r="D375" s="1">
        <v>0</v>
      </c>
      <c r="E375" s="1" t="s">
        <v>27</v>
      </c>
      <c r="F375" s="1">
        <v>1</v>
      </c>
      <c r="G375" s="1">
        <v>1</v>
      </c>
      <c r="H375" s="1" t="str">
        <f t="shared" si="5"/>
        <v>Monday</v>
      </c>
      <c r="I375" s="1" t="str" cm="1">
        <f t="array" ref="I375">_xlfn.IFS(dataset3[[#This Row],[Weather sit]]=1,"1 Clear",dataset3[[#This Row],[Weather sit]]=2,"2 Misty/Cloudy",dataset3[[#This Row],[Weather sit]]=3,"3 Light Snow/Rain",dataset3[[#This Row],[Weather sit]]=4,"4 Heavy Snow/Rain")</f>
        <v>1 Clear</v>
      </c>
      <c r="J375" s="7">
        <v>0.38</v>
      </c>
      <c r="K375" s="7">
        <v>0.39389999999999997</v>
      </c>
      <c r="L375" s="7">
        <v>0.37</v>
      </c>
      <c r="M375" s="7">
        <v>0.35820000000000002</v>
      </c>
      <c r="N375" s="1">
        <v>3</v>
      </c>
      <c r="O375" s="1">
        <v>8</v>
      </c>
      <c r="P375" s="1">
        <v>11</v>
      </c>
      <c r="Q375" s="1" t="str" cm="1">
        <f t="array" ref="Q375">_xlfn.IFS(dataset3[[#This Row],[Windspeed]]&lt;=0.1,"0.00 -0.10",dataset3[[#This Row],[Windspeed]]&lt;=0.2,"0.10-0.20",dataset3[[#This Row],[Windspeed]]&lt;=0.3,"0.20-0.30",dataset3[[#This Row],[Windspeed]]&lt;=0.4,"0.30-0.40",dataset3[[#This Row],[Windspeed]]&lt;=0.5,"0.40-0.50",dataset3[[#This Row],[Windspeed]]&lt;=0.6,"0.50-0.60")</f>
        <v>0.30-0.40</v>
      </c>
      <c r="R375" s="1" t="str" cm="1">
        <f t="array" ref="R37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76" spans="1:18" x14ac:dyDescent="0.25">
      <c r="A376" s="1">
        <v>994</v>
      </c>
      <c r="B376" s="3">
        <v>40588</v>
      </c>
      <c r="C376" s="1">
        <v>1</v>
      </c>
      <c r="D376" s="1">
        <v>1</v>
      </c>
      <c r="E376" s="1" t="s">
        <v>27</v>
      </c>
      <c r="F376" s="1">
        <v>1</v>
      </c>
      <c r="G376" s="1">
        <v>1</v>
      </c>
      <c r="H376" s="1" t="str">
        <f t="shared" si="5"/>
        <v>Monday</v>
      </c>
      <c r="I376" s="1" t="str" cm="1">
        <f t="array" ref="I376">_xlfn.IFS(dataset3[[#This Row],[Weather sit]]=1,"1 Clear",dataset3[[#This Row],[Weather sit]]=2,"2 Misty/Cloudy",dataset3[[#This Row],[Weather sit]]=3,"3 Light Snow/Rain",dataset3[[#This Row],[Weather sit]]=4,"4 Heavy Snow/Rain")</f>
        <v>1 Clear</v>
      </c>
      <c r="J376" s="7">
        <v>0.38</v>
      </c>
      <c r="K376" s="7">
        <v>0.39389999999999997</v>
      </c>
      <c r="L376" s="7">
        <v>0.37</v>
      </c>
      <c r="M376" s="7">
        <v>0.35820000000000002</v>
      </c>
      <c r="N376" s="1">
        <v>1</v>
      </c>
      <c r="O376" s="1">
        <v>6</v>
      </c>
      <c r="P376" s="1">
        <v>7</v>
      </c>
      <c r="Q376" s="1" t="str" cm="1">
        <f t="array" ref="Q376">_xlfn.IFS(dataset3[[#This Row],[Windspeed]]&lt;=0.1,"0.00 -0.10",dataset3[[#This Row],[Windspeed]]&lt;=0.2,"0.10-0.20",dataset3[[#This Row],[Windspeed]]&lt;=0.3,"0.20-0.30",dataset3[[#This Row],[Windspeed]]&lt;=0.4,"0.30-0.40",dataset3[[#This Row],[Windspeed]]&lt;=0.5,"0.40-0.50",dataset3[[#This Row],[Windspeed]]&lt;=0.6,"0.50-0.60")</f>
        <v>0.30-0.40</v>
      </c>
      <c r="R376" s="1" t="str" cm="1">
        <f t="array" ref="R37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77" spans="1:18" x14ac:dyDescent="0.25">
      <c r="A377" s="1">
        <v>995</v>
      </c>
      <c r="B377" s="3">
        <v>40588</v>
      </c>
      <c r="C377" s="1">
        <v>1</v>
      </c>
      <c r="D377" s="1">
        <v>2</v>
      </c>
      <c r="E377" s="1" t="s">
        <v>27</v>
      </c>
      <c r="F377" s="1">
        <v>1</v>
      </c>
      <c r="G377" s="1">
        <v>1</v>
      </c>
      <c r="H377" s="1" t="str">
        <f t="shared" si="5"/>
        <v>Monday</v>
      </c>
      <c r="I377" s="1" t="str" cm="1">
        <f t="array" ref="I377">_xlfn.IFS(dataset3[[#This Row],[Weather sit]]=1,"1 Clear",dataset3[[#This Row],[Weather sit]]=2,"2 Misty/Cloudy",dataset3[[#This Row],[Weather sit]]=3,"3 Light Snow/Rain",dataset3[[#This Row],[Weather sit]]=4,"4 Heavy Snow/Rain")</f>
        <v>1 Clear</v>
      </c>
      <c r="J377" s="7">
        <v>0.36</v>
      </c>
      <c r="K377" s="7">
        <v>0.33329999999999999</v>
      </c>
      <c r="L377" s="7">
        <v>0.4</v>
      </c>
      <c r="M377" s="7">
        <v>0.29849999999999999</v>
      </c>
      <c r="N377" s="1">
        <v>0</v>
      </c>
      <c r="O377" s="1">
        <v>2</v>
      </c>
      <c r="P377" s="1">
        <v>2</v>
      </c>
      <c r="Q377" s="1" t="str" cm="1">
        <f t="array" ref="Q377">_xlfn.IFS(dataset3[[#This Row],[Windspeed]]&lt;=0.1,"0.00 -0.10",dataset3[[#This Row],[Windspeed]]&lt;=0.2,"0.10-0.20",dataset3[[#This Row],[Windspeed]]&lt;=0.3,"0.20-0.30",dataset3[[#This Row],[Windspeed]]&lt;=0.4,"0.30-0.40",dataset3[[#This Row],[Windspeed]]&lt;=0.5,"0.40-0.50",dataset3[[#This Row],[Windspeed]]&lt;=0.6,"0.50-0.60")</f>
        <v>0.20-0.30</v>
      </c>
      <c r="R377" s="1" t="str" cm="1">
        <f t="array" ref="R37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0.30-0.40</v>
      </c>
    </row>
    <row r="378" spans="1:18" x14ac:dyDescent="0.25">
      <c r="A378" s="1">
        <v>996</v>
      </c>
      <c r="B378" s="3">
        <v>40588</v>
      </c>
      <c r="C378" s="1">
        <v>1</v>
      </c>
      <c r="D378" s="1">
        <v>3</v>
      </c>
      <c r="E378" s="1" t="s">
        <v>27</v>
      </c>
      <c r="F378" s="1">
        <v>1</v>
      </c>
      <c r="G378" s="1">
        <v>1</v>
      </c>
      <c r="H378" s="1" t="str">
        <f t="shared" si="5"/>
        <v>Monday</v>
      </c>
      <c r="I378" s="1" t="str" cm="1">
        <f t="array" ref="I378">_xlfn.IFS(dataset3[[#This Row],[Weather sit]]=1,"1 Clear",dataset3[[#This Row],[Weather sit]]=2,"2 Misty/Cloudy",dataset3[[#This Row],[Weather sit]]=3,"3 Light Snow/Rain",dataset3[[#This Row],[Weather sit]]=4,"4 Heavy Snow/Rain")</f>
        <v>1 Clear</v>
      </c>
      <c r="J378" s="7">
        <v>0.34</v>
      </c>
      <c r="K378" s="7">
        <v>0.31819999999999998</v>
      </c>
      <c r="L378" s="7">
        <v>0.46</v>
      </c>
      <c r="M378" s="7">
        <v>0.22389999999999999</v>
      </c>
      <c r="N378" s="1">
        <v>1</v>
      </c>
      <c r="O378" s="1">
        <v>1</v>
      </c>
      <c r="P378" s="1">
        <v>2</v>
      </c>
      <c r="Q378" s="1" t="str" cm="1">
        <f t="array" ref="Q378">_xlfn.IFS(dataset3[[#This Row],[Windspeed]]&lt;=0.1,"0.00 -0.10",dataset3[[#This Row],[Windspeed]]&lt;=0.2,"0.10-0.20",dataset3[[#This Row],[Windspeed]]&lt;=0.3,"0.20-0.30",dataset3[[#This Row],[Windspeed]]&lt;=0.4,"0.30-0.40",dataset3[[#This Row],[Windspeed]]&lt;=0.5,"0.40-0.50",dataset3[[#This Row],[Windspeed]]&lt;=0.6,"0.50-0.60")</f>
        <v>0.20-0.30</v>
      </c>
      <c r="R378" s="1" t="str" cm="1">
        <f t="array" ref="R37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379" spans="1:18" x14ac:dyDescent="0.25">
      <c r="A379" s="1">
        <v>997</v>
      </c>
      <c r="B379" s="3">
        <v>40588</v>
      </c>
      <c r="C379" s="1">
        <v>1</v>
      </c>
      <c r="D379" s="1">
        <v>4</v>
      </c>
      <c r="E379" s="1" t="s">
        <v>27</v>
      </c>
      <c r="F379" s="1">
        <v>1</v>
      </c>
      <c r="G379" s="1">
        <v>1</v>
      </c>
      <c r="H379" s="1" t="str">
        <f t="shared" si="5"/>
        <v>Monday</v>
      </c>
      <c r="I379" s="1" t="str" cm="1">
        <f t="array" ref="I379">_xlfn.IFS(dataset3[[#This Row],[Weather sit]]=1,"1 Clear",dataset3[[#This Row],[Weather sit]]=2,"2 Misty/Cloudy",dataset3[[#This Row],[Weather sit]]=3,"3 Light Snow/Rain",dataset3[[#This Row],[Weather sit]]=4,"4 Heavy Snow/Rain")</f>
        <v>1 Clear</v>
      </c>
      <c r="J379" s="7">
        <v>0.32</v>
      </c>
      <c r="K379" s="7">
        <v>0.30299999999999999</v>
      </c>
      <c r="L379" s="7">
        <v>0.53</v>
      </c>
      <c r="M379" s="7">
        <v>0.28360000000000002</v>
      </c>
      <c r="N379" s="1">
        <v>0</v>
      </c>
      <c r="O379" s="1">
        <v>2</v>
      </c>
      <c r="P379" s="1">
        <v>2</v>
      </c>
      <c r="Q379" s="1" t="str" cm="1">
        <f t="array" ref="Q379">_xlfn.IFS(dataset3[[#This Row],[Windspeed]]&lt;=0.1,"0.00 -0.10",dataset3[[#This Row],[Windspeed]]&lt;=0.2,"0.10-0.20",dataset3[[#This Row],[Windspeed]]&lt;=0.3,"0.20-0.30",dataset3[[#This Row],[Windspeed]]&lt;=0.4,"0.30-0.40",dataset3[[#This Row],[Windspeed]]&lt;=0.5,"0.40-0.50",dataset3[[#This Row],[Windspeed]]&lt;=0.6,"0.50-0.60")</f>
        <v>0.20-0.30</v>
      </c>
      <c r="R379" s="1" t="str" cm="1">
        <f t="array" ref="R37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380" spans="1:18" x14ac:dyDescent="0.25">
      <c r="A380" s="1">
        <v>998</v>
      </c>
      <c r="B380" s="3">
        <v>40588</v>
      </c>
      <c r="C380" s="1">
        <v>1</v>
      </c>
      <c r="D380" s="1">
        <v>5</v>
      </c>
      <c r="E380" s="1" t="s">
        <v>27</v>
      </c>
      <c r="F380" s="1">
        <v>1</v>
      </c>
      <c r="G380" s="1">
        <v>1</v>
      </c>
      <c r="H380" s="1" t="str">
        <f t="shared" si="5"/>
        <v>Monday</v>
      </c>
      <c r="I380" s="1" t="str" cm="1">
        <f t="array" ref="I380">_xlfn.IFS(dataset3[[#This Row],[Weather sit]]=1,"1 Clear",dataset3[[#This Row],[Weather sit]]=2,"2 Misty/Cloudy",dataset3[[#This Row],[Weather sit]]=3,"3 Light Snow/Rain",dataset3[[#This Row],[Weather sit]]=4,"4 Heavy Snow/Rain")</f>
        <v>1 Clear</v>
      </c>
      <c r="J380" s="7">
        <v>0.32</v>
      </c>
      <c r="K380" s="7">
        <v>0.30299999999999999</v>
      </c>
      <c r="L380" s="7">
        <v>0.53</v>
      </c>
      <c r="M380" s="7">
        <v>0.28360000000000002</v>
      </c>
      <c r="N380" s="1">
        <v>0</v>
      </c>
      <c r="O380" s="1">
        <v>3</v>
      </c>
      <c r="P380" s="1">
        <v>3</v>
      </c>
      <c r="Q380" s="1" t="str" cm="1">
        <f t="array" ref="Q380">_xlfn.IFS(dataset3[[#This Row],[Windspeed]]&lt;=0.1,"0.00 -0.10",dataset3[[#This Row],[Windspeed]]&lt;=0.2,"0.10-0.20",dataset3[[#This Row],[Windspeed]]&lt;=0.3,"0.20-0.30",dataset3[[#This Row],[Windspeed]]&lt;=0.4,"0.30-0.40",dataset3[[#This Row],[Windspeed]]&lt;=0.5,"0.40-0.50",dataset3[[#This Row],[Windspeed]]&lt;=0.6,"0.50-0.60")</f>
        <v>0.20-0.30</v>
      </c>
      <c r="R380" s="1" t="str" cm="1">
        <f t="array" ref="R38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381" spans="1:18" x14ac:dyDescent="0.25">
      <c r="A381" s="1">
        <v>999</v>
      </c>
      <c r="B381" s="3">
        <v>40588</v>
      </c>
      <c r="C381" s="1">
        <v>1</v>
      </c>
      <c r="D381" s="1">
        <v>6</v>
      </c>
      <c r="E381" s="1" t="s">
        <v>27</v>
      </c>
      <c r="F381" s="1">
        <v>1</v>
      </c>
      <c r="G381" s="1">
        <v>1</v>
      </c>
      <c r="H381" s="1" t="str">
        <f t="shared" si="5"/>
        <v>Monday</v>
      </c>
      <c r="I381" s="1" t="str" cm="1">
        <f t="array" ref="I381">_xlfn.IFS(dataset3[[#This Row],[Weather sit]]=1,"1 Clear",dataset3[[#This Row],[Weather sit]]=2,"2 Misty/Cloudy",dataset3[[#This Row],[Weather sit]]=3,"3 Light Snow/Rain",dataset3[[#This Row],[Weather sit]]=4,"4 Heavy Snow/Rain")</f>
        <v>1 Clear</v>
      </c>
      <c r="J381" s="7">
        <v>0.34</v>
      </c>
      <c r="K381" s="7">
        <v>0.30299999999999999</v>
      </c>
      <c r="L381" s="7">
        <v>0.46</v>
      </c>
      <c r="M381" s="7">
        <v>0.29849999999999999</v>
      </c>
      <c r="N381" s="1">
        <v>1</v>
      </c>
      <c r="O381" s="1">
        <v>25</v>
      </c>
      <c r="P381" s="1">
        <v>26</v>
      </c>
      <c r="Q381" s="1" t="str" cm="1">
        <f t="array" ref="Q381">_xlfn.IFS(dataset3[[#This Row],[Windspeed]]&lt;=0.1,"0.00 -0.10",dataset3[[#This Row],[Windspeed]]&lt;=0.2,"0.10-0.20",dataset3[[#This Row],[Windspeed]]&lt;=0.3,"0.20-0.30",dataset3[[#This Row],[Windspeed]]&lt;=0.4,"0.30-0.40",dataset3[[#This Row],[Windspeed]]&lt;=0.5,"0.40-0.50",dataset3[[#This Row],[Windspeed]]&lt;=0.6,"0.50-0.60")</f>
        <v>0.20-0.30</v>
      </c>
      <c r="R381" s="1" t="str" cm="1">
        <f t="array" ref="R38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382" spans="1:18" x14ac:dyDescent="0.25">
      <c r="A382" s="1">
        <v>1000</v>
      </c>
      <c r="B382" s="3">
        <v>40588</v>
      </c>
      <c r="C382" s="1">
        <v>1</v>
      </c>
      <c r="D382" s="1">
        <v>7</v>
      </c>
      <c r="E382" s="1" t="s">
        <v>27</v>
      </c>
      <c r="F382" s="1">
        <v>1</v>
      </c>
      <c r="G382" s="1">
        <v>1</v>
      </c>
      <c r="H382" s="1" t="str">
        <f t="shared" si="5"/>
        <v>Monday</v>
      </c>
      <c r="I382" s="1" t="str" cm="1">
        <f t="array" ref="I382">_xlfn.IFS(dataset3[[#This Row],[Weather sit]]=1,"1 Clear",dataset3[[#This Row],[Weather sit]]=2,"2 Misty/Cloudy",dataset3[[#This Row],[Weather sit]]=3,"3 Light Snow/Rain",dataset3[[#This Row],[Weather sit]]=4,"4 Heavy Snow/Rain")</f>
        <v>1 Clear</v>
      </c>
      <c r="J382" s="7">
        <v>0.34</v>
      </c>
      <c r="K382" s="7">
        <v>0.30299999999999999</v>
      </c>
      <c r="L382" s="7">
        <v>0.46</v>
      </c>
      <c r="M382" s="7">
        <v>0.29849999999999999</v>
      </c>
      <c r="N382" s="1">
        <v>2</v>
      </c>
      <c r="O382" s="1">
        <v>96</v>
      </c>
      <c r="P382" s="1">
        <v>98</v>
      </c>
      <c r="Q382" s="1" t="str" cm="1">
        <f t="array" ref="Q382">_xlfn.IFS(dataset3[[#This Row],[Windspeed]]&lt;=0.1,"0.00 -0.10",dataset3[[#This Row],[Windspeed]]&lt;=0.2,"0.10-0.20",dataset3[[#This Row],[Windspeed]]&lt;=0.3,"0.20-0.30",dataset3[[#This Row],[Windspeed]]&lt;=0.4,"0.30-0.40",dataset3[[#This Row],[Windspeed]]&lt;=0.5,"0.40-0.50",dataset3[[#This Row],[Windspeed]]&lt;=0.6,"0.50-0.60")</f>
        <v>0.20-0.30</v>
      </c>
      <c r="R382" s="1" t="str" cm="1">
        <f t="array" ref="R382">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0.40-0.50</v>
      </c>
    </row>
    <row r="383" spans="1:18" x14ac:dyDescent="0.25">
      <c r="A383" s="1">
        <v>611</v>
      </c>
      <c r="B383" s="3">
        <v>40571</v>
      </c>
      <c r="C383" s="1">
        <v>1</v>
      </c>
      <c r="D383" s="1">
        <v>16</v>
      </c>
      <c r="E383" s="1" t="s">
        <v>27</v>
      </c>
      <c r="F383" s="1">
        <v>5</v>
      </c>
      <c r="G383" s="1">
        <v>1</v>
      </c>
      <c r="H383" s="1" t="str">
        <f t="shared" si="5"/>
        <v>Friday</v>
      </c>
      <c r="I383" s="1" t="str" cm="1">
        <f t="array" ref="I383">_xlfn.IFS(dataset3[[#This Row],[Weather sit]]=1,"1 Clear",dataset3[[#This Row],[Weather sit]]=2,"2 Misty/Cloudy",dataset3[[#This Row],[Weather sit]]=3,"3 Light Snow/Rain",dataset3[[#This Row],[Weather sit]]=4,"4 Heavy Snow/Rain")</f>
        <v>1 Clear</v>
      </c>
      <c r="J383" s="7">
        <v>0.22</v>
      </c>
      <c r="K383" s="7">
        <v>0.2727</v>
      </c>
      <c r="L383" s="7">
        <v>0.8</v>
      </c>
      <c r="M383" s="7">
        <v>0</v>
      </c>
      <c r="N383" s="1">
        <v>10</v>
      </c>
      <c r="O383" s="1">
        <v>70</v>
      </c>
      <c r="P383" s="1">
        <v>80</v>
      </c>
      <c r="Q383" s="1" t="str" cm="1">
        <f t="array" ref="Q383">_xlfn.IFS(dataset3[[#This Row],[Windspeed]]&lt;=0.1,"0.00 -0.10",dataset3[[#This Row],[Windspeed]]&lt;=0.2,"0.10-0.20",dataset3[[#This Row],[Windspeed]]&lt;=0.3,"0.20-0.30",dataset3[[#This Row],[Windspeed]]&lt;=0.4,"0.30-0.40",dataset3[[#This Row],[Windspeed]]&lt;=0.5,"0.40-0.50",dataset3[[#This Row],[Windspeed]]&lt;=0.6,"0.50-0.60")</f>
        <v>0.00 -0.10</v>
      </c>
      <c r="R383" s="1" t="str" cm="1">
        <f t="array" ref="R383">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84" spans="1:18" x14ac:dyDescent="0.25">
      <c r="A384" s="1">
        <v>612</v>
      </c>
      <c r="B384" s="3">
        <v>40571</v>
      </c>
      <c r="C384" s="1">
        <v>1</v>
      </c>
      <c r="D384" s="1">
        <v>17</v>
      </c>
      <c r="E384" s="1" t="s">
        <v>27</v>
      </c>
      <c r="F384" s="1">
        <v>5</v>
      </c>
      <c r="G384" s="1">
        <v>1</v>
      </c>
      <c r="H384" s="1" t="str">
        <f t="shared" si="5"/>
        <v>Friday</v>
      </c>
      <c r="I384" s="1" t="str" cm="1">
        <f t="array" ref="I384">_xlfn.IFS(dataset3[[#This Row],[Weather sit]]=1,"1 Clear",dataset3[[#This Row],[Weather sit]]=2,"2 Misty/Cloudy",dataset3[[#This Row],[Weather sit]]=3,"3 Light Snow/Rain",dataset3[[#This Row],[Weather sit]]=4,"4 Heavy Snow/Rain")</f>
        <v>1 Clear</v>
      </c>
      <c r="J384" s="7">
        <v>0.24</v>
      </c>
      <c r="K384" s="7">
        <v>0.2424</v>
      </c>
      <c r="L384" s="7">
        <v>0.75</v>
      </c>
      <c r="M384" s="7">
        <v>0.1343</v>
      </c>
      <c r="N384" s="1">
        <v>2</v>
      </c>
      <c r="O384" s="1">
        <v>147</v>
      </c>
      <c r="P384" s="1">
        <v>149</v>
      </c>
      <c r="Q384" s="1" t="str" cm="1">
        <f t="array" ref="Q384">_xlfn.IFS(dataset3[[#This Row],[Windspeed]]&lt;=0.1,"0.00 -0.10",dataset3[[#This Row],[Windspeed]]&lt;=0.2,"0.10-0.20",dataset3[[#This Row],[Windspeed]]&lt;=0.3,"0.20-0.30",dataset3[[#This Row],[Windspeed]]&lt;=0.4,"0.30-0.40",dataset3[[#This Row],[Windspeed]]&lt;=0.5,"0.40-0.50",dataset3[[#This Row],[Windspeed]]&lt;=0.6,"0.50-0.60")</f>
        <v>0.10-0.20</v>
      </c>
      <c r="R384" s="1" t="str" cm="1">
        <f t="array" ref="R384">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85" spans="1:18" x14ac:dyDescent="0.25">
      <c r="A385" s="1">
        <v>613</v>
      </c>
      <c r="B385" s="3">
        <v>40571</v>
      </c>
      <c r="C385" s="1">
        <v>1</v>
      </c>
      <c r="D385" s="1">
        <v>18</v>
      </c>
      <c r="E385" s="1" t="s">
        <v>27</v>
      </c>
      <c r="F385" s="1">
        <v>5</v>
      </c>
      <c r="G385" s="1">
        <v>1</v>
      </c>
      <c r="H385" s="1" t="str">
        <f t="shared" si="5"/>
        <v>Friday</v>
      </c>
      <c r="I385" s="1" t="str" cm="1">
        <f t="array" ref="I385">_xlfn.IFS(dataset3[[#This Row],[Weather sit]]=1,"1 Clear",dataset3[[#This Row],[Weather sit]]=2,"2 Misty/Cloudy",dataset3[[#This Row],[Weather sit]]=3,"3 Light Snow/Rain",dataset3[[#This Row],[Weather sit]]=4,"4 Heavy Snow/Rain")</f>
        <v>1 Clear</v>
      </c>
      <c r="J385" s="7">
        <v>0.24</v>
      </c>
      <c r="K385" s="7">
        <v>0.2273</v>
      </c>
      <c r="L385" s="7">
        <v>0.75</v>
      </c>
      <c r="M385" s="7">
        <v>0.19400000000000001</v>
      </c>
      <c r="N385" s="1">
        <v>2</v>
      </c>
      <c r="O385" s="1">
        <v>107</v>
      </c>
      <c r="P385" s="1">
        <v>109</v>
      </c>
      <c r="Q385" s="1" t="str" cm="1">
        <f t="array" ref="Q385">_xlfn.IFS(dataset3[[#This Row],[Windspeed]]&lt;=0.1,"0.00 -0.10",dataset3[[#This Row],[Windspeed]]&lt;=0.2,"0.10-0.20",dataset3[[#This Row],[Windspeed]]&lt;=0.3,"0.20-0.30",dataset3[[#This Row],[Windspeed]]&lt;=0.4,"0.30-0.40",dataset3[[#This Row],[Windspeed]]&lt;=0.5,"0.40-0.50",dataset3[[#This Row],[Windspeed]]&lt;=0.6,"0.50-0.60")</f>
        <v>0.10-0.20</v>
      </c>
      <c r="R385" s="1" t="str" cm="1">
        <f t="array" ref="R385">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86" spans="1:18" x14ac:dyDescent="0.25">
      <c r="A386" s="1">
        <v>614</v>
      </c>
      <c r="B386" s="3">
        <v>40571</v>
      </c>
      <c r="C386" s="1">
        <v>1</v>
      </c>
      <c r="D386" s="1">
        <v>19</v>
      </c>
      <c r="E386" s="1" t="s">
        <v>27</v>
      </c>
      <c r="F386" s="1">
        <v>5</v>
      </c>
      <c r="G386" s="1">
        <v>2</v>
      </c>
      <c r="H386" s="1" t="str">
        <f t="shared" ref="H386:H391" si="6">TEXT(B386,"dddd")</f>
        <v>Friday</v>
      </c>
      <c r="I386" s="1" t="str" cm="1">
        <f t="array" ref="I386">_xlfn.IFS(dataset3[[#This Row],[Weather sit]]=1,"1 Clear",dataset3[[#This Row],[Weather sit]]=2,"2 Misty/Cloudy",dataset3[[#This Row],[Weather sit]]=3,"3 Light Snow/Rain",dataset3[[#This Row],[Weather sit]]=4,"4 Heavy Snow/Rain")</f>
        <v>2 Misty/Cloudy</v>
      </c>
      <c r="J386" s="7">
        <v>0.24</v>
      </c>
      <c r="K386" s="7">
        <v>0.2424</v>
      </c>
      <c r="L386" s="7">
        <v>0.75</v>
      </c>
      <c r="M386" s="7">
        <v>0.1343</v>
      </c>
      <c r="N386" s="1">
        <v>5</v>
      </c>
      <c r="O386" s="1">
        <v>84</v>
      </c>
      <c r="P386" s="1">
        <v>89</v>
      </c>
      <c r="Q386" s="1" t="str" cm="1">
        <f t="array" ref="Q386">_xlfn.IFS(dataset3[[#This Row],[Windspeed]]&lt;=0.1,"0.00 -0.10",dataset3[[#This Row],[Windspeed]]&lt;=0.2,"0.10-0.20",dataset3[[#This Row],[Windspeed]]&lt;=0.3,"0.20-0.30",dataset3[[#This Row],[Windspeed]]&lt;=0.4,"0.30-0.40",dataset3[[#This Row],[Windspeed]]&lt;=0.5,"0.40-0.50",dataset3[[#This Row],[Windspeed]]&lt;=0.6,"0.50-0.60")</f>
        <v>0.10-0.20</v>
      </c>
      <c r="R386" s="1" t="str" cm="1">
        <f t="array" ref="R386">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87" spans="1:18" x14ac:dyDescent="0.25">
      <c r="A387" s="1">
        <v>615</v>
      </c>
      <c r="B387" s="3">
        <v>40571</v>
      </c>
      <c r="C387" s="1">
        <v>1</v>
      </c>
      <c r="D387" s="1">
        <v>20</v>
      </c>
      <c r="E387" s="1" t="s">
        <v>27</v>
      </c>
      <c r="F387" s="1">
        <v>5</v>
      </c>
      <c r="G387" s="1">
        <v>2</v>
      </c>
      <c r="H387" s="1" t="str">
        <f t="shared" si="6"/>
        <v>Friday</v>
      </c>
      <c r="I387" s="1" t="str" cm="1">
        <f t="array" ref="I387">_xlfn.IFS(dataset3[[#This Row],[Weather sit]]=1,"1 Clear",dataset3[[#This Row],[Weather sit]]=2,"2 Misty/Cloudy",dataset3[[#This Row],[Weather sit]]=3,"3 Light Snow/Rain",dataset3[[#This Row],[Weather sit]]=4,"4 Heavy Snow/Rain")</f>
        <v>2 Misty/Cloudy</v>
      </c>
      <c r="J387" s="7">
        <v>0.24</v>
      </c>
      <c r="K387" s="7">
        <v>0.2273</v>
      </c>
      <c r="L387" s="7">
        <v>0.7</v>
      </c>
      <c r="M387" s="7">
        <v>0.19400000000000001</v>
      </c>
      <c r="N387" s="1">
        <v>1</v>
      </c>
      <c r="O387" s="1">
        <v>61</v>
      </c>
      <c r="P387" s="1">
        <v>62</v>
      </c>
      <c r="Q387" s="1" t="str" cm="1">
        <f t="array" ref="Q387">_xlfn.IFS(dataset3[[#This Row],[Windspeed]]&lt;=0.1,"0.00 -0.10",dataset3[[#This Row],[Windspeed]]&lt;=0.2,"0.10-0.20",dataset3[[#This Row],[Windspeed]]&lt;=0.3,"0.20-0.30",dataset3[[#This Row],[Windspeed]]&lt;=0.4,"0.30-0.40",dataset3[[#This Row],[Windspeed]]&lt;=0.5,"0.40-0.50",dataset3[[#This Row],[Windspeed]]&lt;=0.6,"0.50-0.60")</f>
        <v>0.10-0.20</v>
      </c>
      <c r="R387" s="1" t="str" cm="1">
        <f t="array" ref="R387">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88" spans="1:18" x14ac:dyDescent="0.25">
      <c r="A388" s="1">
        <v>616</v>
      </c>
      <c r="B388" s="3">
        <v>40571</v>
      </c>
      <c r="C388" s="1">
        <v>1</v>
      </c>
      <c r="D388" s="1">
        <v>21</v>
      </c>
      <c r="E388" s="1" t="s">
        <v>27</v>
      </c>
      <c r="F388" s="1">
        <v>5</v>
      </c>
      <c r="G388" s="1">
        <v>2</v>
      </c>
      <c r="H388" s="1" t="str">
        <f t="shared" si="6"/>
        <v>Friday</v>
      </c>
      <c r="I388" s="1" t="str" cm="1">
        <f t="array" ref="I388">_xlfn.IFS(dataset3[[#This Row],[Weather sit]]=1,"1 Clear",dataset3[[#This Row],[Weather sit]]=2,"2 Misty/Cloudy",dataset3[[#This Row],[Weather sit]]=3,"3 Light Snow/Rain",dataset3[[#This Row],[Weather sit]]=4,"4 Heavy Snow/Rain")</f>
        <v>2 Misty/Cloudy</v>
      </c>
      <c r="J388" s="7">
        <v>0.22</v>
      </c>
      <c r="K388" s="7">
        <v>0.2273</v>
      </c>
      <c r="L388" s="7">
        <v>0.75</v>
      </c>
      <c r="M388" s="7">
        <v>0.1343</v>
      </c>
      <c r="N388" s="1">
        <v>1</v>
      </c>
      <c r="O388" s="1">
        <v>57</v>
      </c>
      <c r="P388" s="1">
        <v>58</v>
      </c>
      <c r="Q388" s="1" t="str" cm="1">
        <f t="array" ref="Q388">_xlfn.IFS(dataset3[[#This Row],[Windspeed]]&lt;=0.1,"0.00 -0.10",dataset3[[#This Row],[Windspeed]]&lt;=0.2,"0.10-0.20",dataset3[[#This Row],[Windspeed]]&lt;=0.3,"0.20-0.30",dataset3[[#This Row],[Windspeed]]&lt;=0.4,"0.30-0.40",dataset3[[#This Row],[Windspeed]]&lt;=0.5,"0.40-0.50",dataset3[[#This Row],[Windspeed]]&lt;=0.6,"0.50-0.60")</f>
        <v>0.10-0.20</v>
      </c>
      <c r="R388" s="1" t="str" cm="1">
        <f t="array" ref="R388">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0.70-0.80</v>
      </c>
    </row>
    <row r="389" spans="1:18" x14ac:dyDescent="0.25">
      <c r="A389" s="1">
        <v>617</v>
      </c>
      <c r="B389" s="3">
        <v>40571</v>
      </c>
      <c r="C389" s="1">
        <v>1</v>
      </c>
      <c r="D389" s="1">
        <v>22</v>
      </c>
      <c r="E389" s="1" t="s">
        <v>27</v>
      </c>
      <c r="F389" s="1">
        <v>5</v>
      </c>
      <c r="G389" s="1">
        <v>1</v>
      </c>
      <c r="H389" s="1" t="str">
        <f t="shared" si="6"/>
        <v>Friday</v>
      </c>
      <c r="I389" s="1" t="str" cm="1">
        <f t="array" ref="I389">_xlfn.IFS(dataset3[[#This Row],[Weather sit]]=1,"1 Clear",dataset3[[#This Row],[Weather sit]]=2,"2 Misty/Cloudy",dataset3[[#This Row],[Weather sit]]=3,"3 Light Snow/Rain",dataset3[[#This Row],[Weather sit]]=4,"4 Heavy Snow/Rain")</f>
        <v>1 Clear</v>
      </c>
      <c r="J389" s="7">
        <v>0.24</v>
      </c>
      <c r="K389" s="7">
        <v>0.21210000000000001</v>
      </c>
      <c r="L389" s="7">
        <v>0.65</v>
      </c>
      <c r="M389" s="7">
        <v>0.35820000000000002</v>
      </c>
      <c r="N389" s="1">
        <v>0</v>
      </c>
      <c r="O389" s="1">
        <v>26</v>
      </c>
      <c r="P389" s="1">
        <v>26</v>
      </c>
      <c r="Q389" s="1" t="str" cm="1">
        <f t="array" ref="Q389">_xlfn.IFS(dataset3[[#This Row],[Windspeed]]&lt;=0.1,"0.00 -0.10",dataset3[[#This Row],[Windspeed]]&lt;=0.2,"0.10-0.20",dataset3[[#This Row],[Windspeed]]&lt;=0.3,"0.20-0.30",dataset3[[#This Row],[Windspeed]]&lt;=0.4,"0.30-0.40",dataset3[[#This Row],[Windspeed]]&lt;=0.5,"0.40-0.50",dataset3[[#This Row],[Windspeed]]&lt;=0.6,"0.50-0.60")</f>
        <v>0.30-0.40</v>
      </c>
      <c r="R389" s="1" t="str" cm="1">
        <f t="array" ref="R389">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row r="390" spans="1:18" x14ac:dyDescent="0.25">
      <c r="A390" s="1">
        <v>618</v>
      </c>
      <c r="B390" s="3">
        <v>40571</v>
      </c>
      <c r="C390" s="1">
        <v>1</v>
      </c>
      <c r="D390" s="1">
        <v>23</v>
      </c>
      <c r="E390" s="1" t="s">
        <v>27</v>
      </c>
      <c r="F390" s="1">
        <v>5</v>
      </c>
      <c r="G390" s="1">
        <v>1</v>
      </c>
      <c r="H390" s="1" t="str">
        <f t="shared" si="6"/>
        <v>Friday</v>
      </c>
      <c r="I390" s="1" t="str" cm="1">
        <f t="array" ref="I390">_xlfn.IFS(dataset3[[#This Row],[Weather sit]]=1,"1 Clear",dataset3[[#This Row],[Weather sit]]=2,"2 Misty/Cloudy",dataset3[[#This Row],[Weather sit]]=3,"3 Light Snow/Rain",dataset3[[#This Row],[Weather sit]]=4,"4 Heavy Snow/Rain")</f>
        <v>1 Clear</v>
      </c>
      <c r="J390" s="7">
        <v>0.24</v>
      </c>
      <c r="K390" s="7">
        <v>0.2273</v>
      </c>
      <c r="L390" s="7">
        <v>0.6</v>
      </c>
      <c r="M390" s="7">
        <v>0.22389999999999999</v>
      </c>
      <c r="N390" s="1">
        <v>1</v>
      </c>
      <c r="O390" s="1">
        <v>22</v>
      </c>
      <c r="P390" s="1">
        <v>23</v>
      </c>
      <c r="Q390" s="1" t="str" cm="1">
        <f t="array" ref="Q390">_xlfn.IFS(dataset3[[#This Row],[Windspeed]]&lt;=0.1,"0.00 -0.10",dataset3[[#This Row],[Windspeed]]&lt;=0.2,"0.10-0.20",dataset3[[#This Row],[Windspeed]]&lt;=0.3,"0.20-0.30",dataset3[[#This Row],[Windspeed]]&lt;=0.4,"0.30-0.40",dataset3[[#This Row],[Windspeed]]&lt;=0.5,"0.40-0.50",dataset3[[#This Row],[Windspeed]]&lt;=0.6,"0.50-0.60")</f>
        <v>0.20-0.30</v>
      </c>
      <c r="R390" s="1" t="str" cm="1">
        <f t="array" ref="R390">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0.50-0.60</v>
      </c>
    </row>
    <row r="391" spans="1:18" x14ac:dyDescent="0.25">
      <c r="A391" s="1">
        <v>619</v>
      </c>
      <c r="B391" s="3">
        <v>40572</v>
      </c>
      <c r="C391" s="1">
        <v>1</v>
      </c>
      <c r="D391" s="1">
        <v>0</v>
      </c>
      <c r="E391" s="1" t="s">
        <v>27</v>
      </c>
      <c r="F391" s="1">
        <v>6</v>
      </c>
      <c r="G391" s="1">
        <v>1</v>
      </c>
      <c r="H391" s="1" t="str">
        <f t="shared" si="6"/>
        <v>Saturday</v>
      </c>
      <c r="I391" s="1" t="str" cm="1">
        <f t="array" ref="I391">_xlfn.IFS(dataset3[[#This Row],[Weather sit]]=1,"1 Clear",dataset3[[#This Row],[Weather sit]]=2,"2 Misty/Cloudy",dataset3[[#This Row],[Weather sit]]=3,"3 Light Snow/Rain",dataset3[[#This Row],[Weather sit]]=4,"4 Heavy Snow/Rain")</f>
        <v>1 Clear</v>
      </c>
      <c r="J391" s="7">
        <v>0.22</v>
      </c>
      <c r="K391" s="7">
        <v>0.19700000000000001</v>
      </c>
      <c r="L391" s="7">
        <v>0.64</v>
      </c>
      <c r="M391" s="7">
        <v>0.35820000000000002</v>
      </c>
      <c r="N391" s="1">
        <v>2</v>
      </c>
      <c r="O391" s="1">
        <v>26</v>
      </c>
      <c r="P391" s="1">
        <v>28</v>
      </c>
      <c r="Q391" s="1" t="str" cm="1">
        <f t="array" ref="Q391">_xlfn.IFS(dataset3[[#This Row],[Windspeed]]&lt;=0.1,"0.00 -0.10",dataset3[[#This Row],[Windspeed]]&lt;=0.2,"0.10-0.20",dataset3[[#This Row],[Windspeed]]&lt;=0.3,"0.20-0.30",dataset3[[#This Row],[Windspeed]]&lt;=0.4,"0.30-0.40",dataset3[[#This Row],[Windspeed]]&lt;=0.5,"0.40-0.50",dataset3[[#This Row],[Windspeed]]&lt;=0.6,"0.50-0.60")</f>
        <v>0.30-0.40</v>
      </c>
      <c r="R391" s="1" t="str" cm="1">
        <f t="array" ref="R391">_xlfn.IFS(dataset3[[#This Row],[Hum]]&lt;=0.1,"0.00-0.10",dataset3[[#This Row],[Hum]]&lt;=0.2,"0.10-0.20",dataset3[[#This Row],[Hum]]&lt;=0.3,"0.20-0.30",dataset3[[#This Row],[Hum]]&lt;=0.4,"0.30-0.40",dataset3[[#This Row],[Hum]]&lt;=0.5,"0.40-0.50",dataset3[[#This Row],[Hum]]&lt;=0.6,"0.50-0.60",dataset3[[#This Row],[Hum]]&lt;=0.7,"0.60-0.70",dataset3[[#This Row],[Hum]]&lt;=0.8,"0.70-0.80",dataset3[[#This Row],[Hum]]&lt;=0.9,"0.80-0.90",dataset3[[#This Row],[Hum]]&lt;=1,"0.90-1.00")</f>
        <v>0.60-0.70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DE9D1-8494-4B43-A75F-45132D08E292}">
  <dimension ref="B2:AI22"/>
  <sheetViews>
    <sheetView workbookViewId="0">
      <selection activeCell="D28" sqref="D28"/>
    </sheetView>
  </sheetViews>
  <sheetFormatPr defaultRowHeight="13.2" x14ac:dyDescent="0.25"/>
  <cols>
    <col min="1" max="1" width="1.6640625" customWidth="1"/>
    <col min="2" max="2" width="18.88671875" bestFit="1" customWidth="1"/>
    <col min="3" max="3" width="13.44140625" bestFit="1" customWidth="1"/>
    <col min="4" max="4" width="9.33203125" bestFit="1" customWidth="1"/>
    <col min="5" max="5" width="9.77734375" bestFit="1" customWidth="1"/>
    <col min="6" max="6" width="9.6640625" bestFit="1" customWidth="1"/>
    <col min="7" max="7" width="3.88671875" customWidth="1"/>
    <col min="8" max="8" width="2.6640625" customWidth="1"/>
    <col min="9" max="9" width="17.44140625" bestFit="1" customWidth="1"/>
    <col min="10" max="10" width="16.21875" bestFit="1" customWidth="1"/>
    <col min="11" max="11" width="3" bestFit="1" customWidth="1"/>
    <col min="12" max="21" width="2" bestFit="1" customWidth="1"/>
    <col min="22" max="35" width="3" bestFit="1" customWidth="1"/>
    <col min="36" max="36" width="11.33203125" bestFit="1" customWidth="1"/>
  </cols>
  <sheetData>
    <row r="2" spans="2:35" x14ac:dyDescent="0.25">
      <c r="B2" s="50" t="s">
        <v>59</v>
      </c>
      <c r="C2" s="51"/>
      <c r="D2" s="51"/>
      <c r="E2" s="51"/>
      <c r="F2" s="52"/>
      <c r="I2" s="50" t="s">
        <v>60</v>
      </c>
      <c r="J2" s="51"/>
      <c r="K2" s="51"/>
      <c r="L2" s="51"/>
      <c r="M2" s="51"/>
      <c r="N2" s="51"/>
      <c r="O2" s="51"/>
      <c r="P2" s="51"/>
      <c r="Q2" s="51"/>
      <c r="R2" s="51"/>
      <c r="S2" s="51"/>
      <c r="T2" s="51"/>
      <c r="U2" s="51"/>
      <c r="V2" s="51"/>
      <c r="W2" s="51"/>
      <c r="X2" s="51"/>
      <c r="Y2" s="51"/>
      <c r="Z2" s="51"/>
      <c r="AA2" s="51"/>
      <c r="AB2" s="51"/>
      <c r="AC2" s="51"/>
      <c r="AD2" s="51"/>
      <c r="AE2" s="51"/>
      <c r="AF2" s="51"/>
      <c r="AG2" s="51"/>
      <c r="AH2" s="51"/>
      <c r="AI2" s="52"/>
    </row>
    <row r="3" spans="2:35" x14ac:dyDescent="0.25">
      <c r="B3" s="14"/>
      <c r="C3" s="13"/>
      <c r="D3" s="36" t="s">
        <v>52</v>
      </c>
      <c r="E3" s="14"/>
      <c r="F3" s="13"/>
      <c r="I3" s="11" t="s">
        <v>53</v>
      </c>
      <c r="J3" s="12"/>
      <c r="K3" s="13"/>
      <c r="L3" s="8"/>
      <c r="M3" s="14"/>
      <c r="N3" s="12"/>
      <c r="O3" s="12"/>
      <c r="P3" s="12"/>
      <c r="Q3" s="12"/>
      <c r="R3" s="12"/>
      <c r="S3" s="12"/>
      <c r="T3" s="12"/>
      <c r="U3" s="12"/>
      <c r="V3" s="12"/>
      <c r="W3" s="12"/>
      <c r="X3" s="12"/>
      <c r="Y3" s="12"/>
      <c r="Z3" s="12"/>
      <c r="AA3" s="12"/>
      <c r="AB3" s="12"/>
      <c r="AC3" s="12"/>
      <c r="AD3" s="12"/>
      <c r="AE3" s="12"/>
      <c r="AF3" s="12"/>
      <c r="AG3" s="12"/>
      <c r="AH3" s="12"/>
      <c r="AI3" s="13"/>
    </row>
    <row r="4" spans="2:35" x14ac:dyDescent="0.25">
      <c r="B4" s="24" t="s">
        <v>29</v>
      </c>
      <c r="C4" s="24" t="s">
        <v>30</v>
      </c>
      <c r="D4" s="14" t="s">
        <v>56</v>
      </c>
      <c r="E4" s="12" t="s">
        <v>57</v>
      </c>
      <c r="F4" s="13" t="s">
        <v>58</v>
      </c>
      <c r="I4" s="9"/>
      <c r="L4" s="14">
        <v>0</v>
      </c>
      <c r="M4" s="12">
        <v>1</v>
      </c>
      <c r="N4" s="12">
        <v>2</v>
      </c>
      <c r="O4" s="12">
        <v>3</v>
      </c>
      <c r="P4" s="12">
        <v>4</v>
      </c>
      <c r="Q4" s="12">
        <v>5</v>
      </c>
      <c r="R4" s="12">
        <v>6</v>
      </c>
      <c r="S4" s="12">
        <v>7</v>
      </c>
      <c r="T4" s="12">
        <v>8</v>
      </c>
      <c r="U4" s="12">
        <v>9</v>
      </c>
      <c r="V4" s="12">
        <v>10</v>
      </c>
      <c r="W4" s="12">
        <v>11</v>
      </c>
      <c r="X4" s="12">
        <v>12</v>
      </c>
      <c r="Y4" s="12">
        <v>13</v>
      </c>
      <c r="Z4" s="12">
        <v>14</v>
      </c>
      <c r="AA4" s="12">
        <v>15</v>
      </c>
      <c r="AB4" s="12">
        <v>16</v>
      </c>
      <c r="AC4" s="12">
        <v>17</v>
      </c>
      <c r="AD4" s="12">
        <v>18</v>
      </c>
      <c r="AE4" s="12">
        <v>19</v>
      </c>
      <c r="AF4" s="12">
        <v>20</v>
      </c>
      <c r="AG4" s="12">
        <v>21</v>
      </c>
      <c r="AH4" s="12">
        <v>22</v>
      </c>
      <c r="AI4" s="13">
        <v>23</v>
      </c>
    </row>
    <row r="5" spans="2:35" x14ac:dyDescent="0.25">
      <c r="B5" s="15" t="s">
        <v>51</v>
      </c>
      <c r="D5" s="20">
        <v>0.06</v>
      </c>
      <c r="E5" s="21">
        <v>0.42</v>
      </c>
      <c r="F5" s="27">
        <v>0.22327731092436975</v>
      </c>
      <c r="I5" s="15" t="s">
        <v>31</v>
      </c>
      <c r="J5" s="15" t="s">
        <v>33</v>
      </c>
      <c r="L5" s="33"/>
      <c r="M5" s="8"/>
      <c r="N5" s="8"/>
      <c r="O5" s="8"/>
      <c r="P5" s="8"/>
      <c r="Q5" s="8"/>
      <c r="R5" s="8"/>
      <c r="S5" s="8"/>
      <c r="T5" s="8"/>
      <c r="U5" s="8"/>
      <c r="V5" s="8"/>
      <c r="W5" s="8"/>
      <c r="X5" s="8"/>
      <c r="Y5" s="8"/>
      <c r="Z5" s="8"/>
      <c r="AA5" s="8"/>
      <c r="AB5" s="8">
        <v>1</v>
      </c>
      <c r="AC5" s="8">
        <v>1</v>
      </c>
      <c r="AD5" s="8">
        <v>1</v>
      </c>
      <c r="AE5" s="8">
        <v>2</v>
      </c>
      <c r="AF5" s="8">
        <v>2</v>
      </c>
      <c r="AG5" s="8">
        <v>2</v>
      </c>
      <c r="AH5" s="8">
        <v>1</v>
      </c>
      <c r="AI5" s="34">
        <v>1</v>
      </c>
    </row>
    <row r="6" spans="2:35" x14ac:dyDescent="0.25">
      <c r="B6" s="16" t="s">
        <v>54</v>
      </c>
      <c r="D6" s="22">
        <v>0.12</v>
      </c>
      <c r="E6" s="18">
        <v>0.42</v>
      </c>
      <c r="F6" s="25">
        <v>0.22173913043478258</v>
      </c>
      <c r="I6" s="16"/>
      <c r="J6" s="16" t="s">
        <v>34</v>
      </c>
      <c r="L6" s="9">
        <v>1</v>
      </c>
      <c r="M6">
        <v>1</v>
      </c>
      <c r="N6">
        <v>1</v>
      </c>
      <c r="O6">
        <v>1</v>
      </c>
      <c r="P6">
        <v>1</v>
      </c>
      <c r="R6">
        <v>1</v>
      </c>
      <c r="S6">
        <v>1</v>
      </c>
      <c r="T6">
        <v>1</v>
      </c>
      <c r="U6">
        <v>1</v>
      </c>
      <c r="V6">
        <v>2</v>
      </c>
      <c r="W6">
        <v>2</v>
      </c>
      <c r="X6">
        <v>2</v>
      </c>
      <c r="Y6">
        <v>2</v>
      </c>
      <c r="Z6">
        <v>2</v>
      </c>
      <c r="AA6">
        <v>1</v>
      </c>
      <c r="AB6">
        <v>1</v>
      </c>
      <c r="AC6">
        <v>1</v>
      </c>
      <c r="AD6">
        <v>1</v>
      </c>
      <c r="AE6">
        <v>2</v>
      </c>
      <c r="AF6">
        <v>1</v>
      </c>
      <c r="AG6">
        <v>1</v>
      </c>
      <c r="AH6">
        <v>1</v>
      </c>
      <c r="AI6" s="31">
        <v>1</v>
      </c>
    </row>
    <row r="7" spans="2:35" x14ac:dyDescent="0.25">
      <c r="B7" s="17" t="s">
        <v>55</v>
      </c>
      <c r="C7" s="10"/>
      <c r="D7" s="23">
        <v>0.14000000000000001</v>
      </c>
      <c r="E7" s="19">
        <v>0.28000000000000003</v>
      </c>
      <c r="F7" s="26">
        <v>0.19351351351351348</v>
      </c>
      <c r="I7" s="16"/>
      <c r="J7" s="16" t="s">
        <v>35</v>
      </c>
      <c r="L7" s="9">
        <v>1</v>
      </c>
      <c r="M7">
        <v>1</v>
      </c>
      <c r="N7">
        <v>1</v>
      </c>
      <c r="O7">
        <v>1</v>
      </c>
      <c r="P7">
        <v>1</v>
      </c>
      <c r="Q7">
        <v>1</v>
      </c>
      <c r="S7">
        <v>1</v>
      </c>
      <c r="T7">
        <v>2</v>
      </c>
      <c r="U7">
        <v>2</v>
      </c>
      <c r="V7">
        <v>2</v>
      </c>
      <c r="W7">
        <v>1</v>
      </c>
      <c r="X7">
        <v>1</v>
      </c>
      <c r="Y7">
        <v>1</v>
      </c>
      <c r="Z7">
        <v>1</v>
      </c>
      <c r="AA7">
        <v>1</v>
      </c>
      <c r="AB7">
        <v>1</v>
      </c>
      <c r="AC7">
        <v>1</v>
      </c>
      <c r="AD7">
        <v>1</v>
      </c>
      <c r="AE7">
        <v>1</v>
      </c>
      <c r="AF7">
        <v>2</v>
      </c>
      <c r="AG7">
        <v>2</v>
      </c>
      <c r="AH7">
        <v>2</v>
      </c>
      <c r="AI7" s="31">
        <v>2</v>
      </c>
    </row>
    <row r="8" spans="2:35" x14ac:dyDescent="0.25">
      <c r="I8" s="16"/>
      <c r="J8" s="17" t="s">
        <v>36</v>
      </c>
      <c r="L8" s="9">
        <v>2</v>
      </c>
      <c r="M8">
        <v>1</v>
      </c>
      <c r="N8">
        <v>1</v>
      </c>
      <c r="O8">
        <v>1</v>
      </c>
      <c r="P8">
        <v>1</v>
      </c>
      <c r="Q8">
        <v>1</v>
      </c>
      <c r="R8">
        <v>1</v>
      </c>
      <c r="S8">
        <v>2</v>
      </c>
      <c r="T8">
        <v>2</v>
      </c>
      <c r="U8">
        <v>2</v>
      </c>
      <c r="V8">
        <v>2</v>
      </c>
      <c r="W8">
        <v>2</v>
      </c>
      <c r="X8">
        <v>2</v>
      </c>
      <c r="Y8">
        <v>2</v>
      </c>
      <c r="Z8">
        <v>2</v>
      </c>
      <c r="AA8">
        <v>2</v>
      </c>
      <c r="AB8">
        <v>2</v>
      </c>
      <c r="AC8">
        <v>2</v>
      </c>
      <c r="AD8">
        <v>2</v>
      </c>
      <c r="AE8">
        <v>1</v>
      </c>
      <c r="AF8">
        <v>3</v>
      </c>
      <c r="AG8">
        <v>3</v>
      </c>
      <c r="AH8">
        <v>2</v>
      </c>
      <c r="AI8" s="31">
        <v>2</v>
      </c>
    </row>
    <row r="9" spans="2:35" x14ac:dyDescent="0.25">
      <c r="I9" s="16" t="s">
        <v>32</v>
      </c>
      <c r="J9" s="15" t="s">
        <v>37</v>
      </c>
      <c r="L9" s="9">
        <v>2</v>
      </c>
      <c r="M9">
        <v>2</v>
      </c>
      <c r="N9">
        <v>2</v>
      </c>
      <c r="O9">
        <v>2</v>
      </c>
      <c r="Q9">
        <v>3</v>
      </c>
      <c r="R9">
        <v>3</v>
      </c>
      <c r="S9">
        <v>3</v>
      </c>
      <c r="T9">
        <v>3</v>
      </c>
      <c r="U9">
        <v>2</v>
      </c>
      <c r="V9">
        <v>2</v>
      </c>
      <c r="W9">
        <v>2</v>
      </c>
      <c r="X9">
        <v>2</v>
      </c>
      <c r="Y9">
        <v>2</v>
      </c>
      <c r="Z9">
        <v>2</v>
      </c>
      <c r="AA9">
        <v>2</v>
      </c>
      <c r="AB9">
        <v>2</v>
      </c>
      <c r="AC9">
        <v>2</v>
      </c>
      <c r="AD9">
        <v>2</v>
      </c>
      <c r="AE9">
        <v>2</v>
      </c>
      <c r="AF9">
        <v>2</v>
      </c>
      <c r="AG9">
        <v>2</v>
      </c>
      <c r="AH9">
        <v>2</v>
      </c>
      <c r="AI9" s="31">
        <v>3</v>
      </c>
    </row>
    <row r="10" spans="2:35" x14ac:dyDescent="0.25">
      <c r="I10" s="16"/>
      <c r="J10" s="16" t="s">
        <v>38</v>
      </c>
      <c r="L10" s="9">
        <v>3</v>
      </c>
      <c r="M10">
        <v>3</v>
      </c>
      <c r="N10">
        <v>3</v>
      </c>
      <c r="O10">
        <v>3</v>
      </c>
      <c r="P10">
        <v>3</v>
      </c>
      <c r="Q10">
        <v>3</v>
      </c>
      <c r="R10">
        <v>3</v>
      </c>
      <c r="S10">
        <v>3</v>
      </c>
      <c r="T10">
        <v>3</v>
      </c>
      <c r="U10">
        <v>2</v>
      </c>
      <c r="V10">
        <v>2</v>
      </c>
      <c r="W10">
        <v>2</v>
      </c>
      <c r="X10">
        <v>2</v>
      </c>
      <c r="Y10">
        <v>1</v>
      </c>
      <c r="Z10">
        <v>1</v>
      </c>
      <c r="AA10">
        <v>1</v>
      </c>
      <c r="AB10">
        <v>1</v>
      </c>
      <c r="AC10">
        <v>1</v>
      </c>
      <c r="AD10">
        <v>1</v>
      </c>
      <c r="AE10">
        <v>1</v>
      </c>
      <c r="AF10">
        <v>1</v>
      </c>
      <c r="AG10">
        <v>1</v>
      </c>
      <c r="AH10">
        <v>1</v>
      </c>
      <c r="AI10" s="31">
        <v>1</v>
      </c>
    </row>
    <row r="11" spans="2:35" x14ac:dyDescent="0.25">
      <c r="I11" s="16"/>
      <c r="J11" s="16" t="s">
        <v>39</v>
      </c>
      <c r="L11" s="9">
        <v>1</v>
      </c>
      <c r="M11">
        <v>1</v>
      </c>
      <c r="N11">
        <v>1</v>
      </c>
      <c r="O11">
        <v>1</v>
      </c>
      <c r="Q11">
        <v>1</v>
      </c>
      <c r="R11">
        <v>1</v>
      </c>
      <c r="S11">
        <v>1</v>
      </c>
      <c r="T11">
        <v>1</v>
      </c>
      <c r="U11">
        <v>1</v>
      </c>
      <c r="V11">
        <v>1</v>
      </c>
      <c r="W11">
        <v>1</v>
      </c>
      <c r="X11">
        <v>1</v>
      </c>
      <c r="Y11">
        <v>1</v>
      </c>
      <c r="Z11">
        <v>1</v>
      </c>
      <c r="AA11">
        <v>1</v>
      </c>
      <c r="AB11">
        <v>1</v>
      </c>
      <c r="AC11">
        <v>1</v>
      </c>
      <c r="AD11">
        <v>1</v>
      </c>
      <c r="AE11">
        <v>1</v>
      </c>
      <c r="AF11">
        <v>1</v>
      </c>
      <c r="AG11">
        <v>1</v>
      </c>
      <c r="AH11">
        <v>1</v>
      </c>
      <c r="AI11" s="31">
        <v>1</v>
      </c>
    </row>
    <row r="12" spans="2:35" x14ac:dyDescent="0.25">
      <c r="I12" s="16"/>
      <c r="J12" s="16" t="s">
        <v>40</v>
      </c>
      <c r="L12" s="9">
        <v>2</v>
      </c>
      <c r="M12">
        <v>2</v>
      </c>
      <c r="N12">
        <v>2</v>
      </c>
      <c r="O12">
        <v>2</v>
      </c>
      <c r="Q12">
        <v>2</v>
      </c>
      <c r="R12">
        <v>2</v>
      </c>
      <c r="S12">
        <v>1</v>
      </c>
      <c r="T12">
        <v>1</v>
      </c>
      <c r="U12">
        <v>2</v>
      </c>
      <c r="V12">
        <v>2</v>
      </c>
      <c r="W12">
        <v>1</v>
      </c>
      <c r="X12">
        <v>2</v>
      </c>
      <c r="Y12">
        <v>2</v>
      </c>
      <c r="Z12">
        <v>2</v>
      </c>
      <c r="AA12">
        <v>2</v>
      </c>
      <c r="AB12">
        <v>2</v>
      </c>
      <c r="AC12">
        <v>2</v>
      </c>
      <c r="AD12">
        <v>2</v>
      </c>
      <c r="AE12">
        <v>2</v>
      </c>
      <c r="AF12">
        <v>2</v>
      </c>
      <c r="AG12">
        <v>2</v>
      </c>
      <c r="AH12">
        <v>2</v>
      </c>
      <c r="AI12" s="31">
        <v>2</v>
      </c>
    </row>
    <row r="13" spans="2:35" x14ac:dyDescent="0.25">
      <c r="I13" s="16"/>
      <c r="J13" s="16" t="s">
        <v>41</v>
      </c>
      <c r="L13" s="9">
        <v>2</v>
      </c>
      <c r="M13">
        <v>2</v>
      </c>
      <c r="N13">
        <v>2</v>
      </c>
      <c r="O13">
        <v>2</v>
      </c>
      <c r="P13">
        <v>3</v>
      </c>
      <c r="Q13">
        <v>3</v>
      </c>
      <c r="R13">
        <v>3</v>
      </c>
      <c r="S13">
        <v>3</v>
      </c>
      <c r="T13">
        <v>3</v>
      </c>
      <c r="U13">
        <v>3</v>
      </c>
      <c r="V13">
        <v>3</v>
      </c>
      <c r="W13">
        <v>3</v>
      </c>
      <c r="X13">
        <v>3</v>
      </c>
      <c r="Y13">
        <v>3</v>
      </c>
      <c r="Z13">
        <v>3</v>
      </c>
      <c r="AA13">
        <v>3</v>
      </c>
      <c r="AB13">
        <v>3</v>
      </c>
      <c r="AC13">
        <v>2</v>
      </c>
      <c r="AD13">
        <v>2</v>
      </c>
      <c r="AE13">
        <v>2</v>
      </c>
      <c r="AF13">
        <v>1</v>
      </c>
      <c r="AG13">
        <v>1</v>
      </c>
      <c r="AH13">
        <v>1</v>
      </c>
      <c r="AI13" s="31">
        <v>1</v>
      </c>
    </row>
    <row r="14" spans="2:35" x14ac:dyDescent="0.25">
      <c r="I14" s="16"/>
      <c r="J14" s="16" t="s">
        <v>42</v>
      </c>
      <c r="L14" s="9">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s="31">
        <v>1</v>
      </c>
    </row>
    <row r="15" spans="2:35" x14ac:dyDescent="0.25">
      <c r="I15" s="16"/>
      <c r="J15" s="16" t="s">
        <v>43</v>
      </c>
      <c r="L15" s="9">
        <v>1</v>
      </c>
      <c r="M15">
        <v>1</v>
      </c>
      <c r="N15">
        <v>1</v>
      </c>
      <c r="O15">
        <v>1</v>
      </c>
      <c r="P15">
        <v>1</v>
      </c>
      <c r="Q15">
        <v>1</v>
      </c>
      <c r="R15">
        <v>1</v>
      </c>
      <c r="S15">
        <v>1</v>
      </c>
      <c r="T15">
        <v>2</v>
      </c>
      <c r="U15">
        <v>1</v>
      </c>
      <c r="V15">
        <v>1</v>
      </c>
      <c r="W15">
        <v>1</v>
      </c>
      <c r="X15">
        <v>2</v>
      </c>
      <c r="Y15">
        <v>2</v>
      </c>
      <c r="Z15">
        <v>2</v>
      </c>
      <c r="AA15">
        <v>2</v>
      </c>
      <c r="AB15">
        <v>2</v>
      </c>
      <c r="AC15">
        <v>2</v>
      </c>
      <c r="AD15">
        <v>2</v>
      </c>
      <c r="AE15">
        <v>2</v>
      </c>
      <c r="AF15">
        <v>2</v>
      </c>
      <c r="AG15">
        <v>1</v>
      </c>
      <c r="AH15">
        <v>1</v>
      </c>
      <c r="AI15" s="31">
        <v>2</v>
      </c>
    </row>
    <row r="16" spans="2:35" x14ac:dyDescent="0.25">
      <c r="I16" s="16"/>
      <c r="J16" s="16" t="s">
        <v>44</v>
      </c>
      <c r="L16" s="9">
        <v>2</v>
      </c>
      <c r="M16">
        <v>2</v>
      </c>
      <c r="N16">
        <v>2</v>
      </c>
      <c r="O16">
        <v>3</v>
      </c>
      <c r="P16">
        <v>1</v>
      </c>
      <c r="Q16">
        <v>1</v>
      </c>
      <c r="R16">
        <v>1</v>
      </c>
      <c r="S16">
        <v>1</v>
      </c>
      <c r="T16">
        <v>1</v>
      </c>
      <c r="U16">
        <v>1</v>
      </c>
      <c r="V16">
        <v>1</v>
      </c>
      <c r="W16">
        <v>1</v>
      </c>
      <c r="X16">
        <v>1</v>
      </c>
      <c r="Y16">
        <v>2</v>
      </c>
      <c r="Z16">
        <v>1</v>
      </c>
      <c r="AA16">
        <v>1</v>
      </c>
      <c r="AB16">
        <v>1</v>
      </c>
      <c r="AC16">
        <v>1</v>
      </c>
      <c r="AD16">
        <v>1</v>
      </c>
      <c r="AE16">
        <v>1</v>
      </c>
      <c r="AF16">
        <v>1</v>
      </c>
      <c r="AG16">
        <v>1</v>
      </c>
      <c r="AH16">
        <v>1</v>
      </c>
      <c r="AI16" s="31">
        <v>1</v>
      </c>
    </row>
    <row r="17" spans="9:35" x14ac:dyDescent="0.25">
      <c r="I17" s="16"/>
      <c r="J17" s="16" t="s">
        <v>45</v>
      </c>
      <c r="L17" s="9">
        <v>1</v>
      </c>
      <c r="M17">
        <v>1</v>
      </c>
      <c r="N17">
        <v>1</v>
      </c>
      <c r="O17">
        <v>1</v>
      </c>
      <c r="Q17">
        <v>1</v>
      </c>
      <c r="R17">
        <v>1</v>
      </c>
      <c r="S17">
        <v>1</v>
      </c>
      <c r="T17">
        <v>1</v>
      </c>
      <c r="U17">
        <v>1</v>
      </c>
      <c r="V17">
        <v>1</v>
      </c>
      <c r="W17">
        <v>2</v>
      </c>
      <c r="X17">
        <v>2</v>
      </c>
      <c r="Y17">
        <v>1</v>
      </c>
      <c r="Z17">
        <v>1</v>
      </c>
      <c r="AA17">
        <v>2</v>
      </c>
      <c r="AB17">
        <v>2</v>
      </c>
      <c r="AC17">
        <v>2</v>
      </c>
      <c r="AD17">
        <v>2</v>
      </c>
      <c r="AE17">
        <v>3</v>
      </c>
      <c r="AF17">
        <v>3</v>
      </c>
      <c r="AG17">
        <v>2</v>
      </c>
      <c r="AH17">
        <v>3</v>
      </c>
      <c r="AI17" s="31">
        <v>3</v>
      </c>
    </row>
    <row r="18" spans="9:35" x14ac:dyDescent="0.25">
      <c r="I18" s="16"/>
      <c r="J18" s="16" t="s">
        <v>46</v>
      </c>
      <c r="L18" s="9">
        <v>3</v>
      </c>
      <c r="M18">
        <v>3</v>
      </c>
      <c r="N18">
        <v>3</v>
      </c>
      <c r="P18">
        <v>2</v>
      </c>
      <c r="Q18">
        <v>2</v>
      </c>
      <c r="R18">
        <v>2</v>
      </c>
      <c r="S18">
        <v>1</v>
      </c>
      <c r="T18">
        <v>1</v>
      </c>
      <c r="U18">
        <v>1</v>
      </c>
      <c r="V18">
        <v>1</v>
      </c>
      <c r="W18">
        <v>1</v>
      </c>
      <c r="X18">
        <v>1</v>
      </c>
      <c r="Y18">
        <v>1</v>
      </c>
      <c r="Z18">
        <v>1</v>
      </c>
      <c r="AA18">
        <v>1</v>
      </c>
      <c r="AB18">
        <v>1</v>
      </c>
      <c r="AC18">
        <v>1</v>
      </c>
      <c r="AD18">
        <v>1</v>
      </c>
      <c r="AE18">
        <v>1</v>
      </c>
      <c r="AF18">
        <v>1</v>
      </c>
      <c r="AG18">
        <v>1</v>
      </c>
      <c r="AH18">
        <v>1</v>
      </c>
      <c r="AI18" s="31">
        <v>1</v>
      </c>
    </row>
    <row r="19" spans="9:35" x14ac:dyDescent="0.25">
      <c r="I19" s="16"/>
      <c r="J19" s="16" t="s">
        <v>47</v>
      </c>
      <c r="L19" s="9">
        <v>1</v>
      </c>
      <c r="M19">
        <v>1</v>
      </c>
      <c r="N19">
        <v>1</v>
      </c>
      <c r="Q19">
        <v>1</v>
      </c>
      <c r="R19">
        <v>1</v>
      </c>
      <c r="S19">
        <v>1</v>
      </c>
      <c r="T19">
        <v>1</v>
      </c>
      <c r="U19">
        <v>1</v>
      </c>
      <c r="V19">
        <v>1</v>
      </c>
      <c r="W19">
        <v>1</v>
      </c>
      <c r="X19">
        <v>1</v>
      </c>
      <c r="Y19">
        <v>1</v>
      </c>
      <c r="Z19">
        <v>1</v>
      </c>
      <c r="AA19">
        <v>1</v>
      </c>
      <c r="AB19">
        <v>1</v>
      </c>
      <c r="AC19">
        <v>1</v>
      </c>
      <c r="AD19">
        <v>1</v>
      </c>
      <c r="AE19">
        <v>1</v>
      </c>
      <c r="AF19">
        <v>1</v>
      </c>
      <c r="AG19">
        <v>1</v>
      </c>
      <c r="AH19">
        <v>1</v>
      </c>
      <c r="AI19" s="31">
        <v>1</v>
      </c>
    </row>
    <row r="20" spans="9:35" x14ac:dyDescent="0.25">
      <c r="I20" s="16"/>
      <c r="J20" s="16" t="s">
        <v>48</v>
      </c>
      <c r="L20" s="9">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s="31">
        <v>1</v>
      </c>
    </row>
    <row r="21" spans="9:35" x14ac:dyDescent="0.25">
      <c r="I21" s="16"/>
      <c r="J21" s="16" t="s">
        <v>49</v>
      </c>
      <c r="L21" s="9">
        <v>1</v>
      </c>
      <c r="M21">
        <v>1</v>
      </c>
      <c r="N21">
        <v>2</v>
      </c>
      <c r="O21">
        <v>2</v>
      </c>
      <c r="P21">
        <v>2</v>
      </c>
      <c r="R21">
        <v>2</v>
      </c>
      <c r="S21">
        <v>2</v>
      </c>
      <c r="T21">
        <v>2</v>
      </c>
      <c r="U21">
        <v>2</v>
      </c>
      <c r="V21">
        <v>1</v>
      </c>
      <c r="W21">
        <v>1</v>
      </c>
      <c r="X21">
        <v>1</v>
      </c>
      <c r="Y21">
        <v>1</v>
      </c>
      <c r="Z21">
        <v>2</v>
      </c>
      <c r="AA21">
        <v>2</v>
      </c>
      <c r="AB21">
        <v>2</v>
      </c>
      <c r="AC21">
        <v>1</v>
      </c>
      <c r="AD21">
        <v>1</v>
      </c>
      <c r="AE21">
        <v>1</v>
      </c>
      <c r="AF21">
        <v>1</v>
      </c>
      <c r="AG21">
        <v>1</v>
      </c>
      <c r="AH21">
        <v>1</v>
      </c>
      <c r="AI21" s="31">
        <v>1</v>
      </c>
    </row>
    <row r="22" spans="9:35" x14ac:dyDescent="0.25">
      <c r="I22" s="17"/>
      <c r="J22" s="17" t="s">
        <v>50</v>
      </c>
      <c r="K22" s="10"/>
      <c r="L22" s="35">
        <v>1</v>
      </c>
      <c r="M22" s="10">
        <v>1</v>
      </c>
      <c r="N22" s="10">
        <v>1</v>
      </c>
      <c r="O22" s="10">
        <v>1</v>
      </c>
      <c r="P22" s="10">
        <v>1</v>
      </c>
      <c r="Q22" s="10">
        <v>1</v>
      </c>
      <c r="R22" s="10">
        <v>1</v>
      </c>
      <c r="S22" s="10">
        <v>1</v>
      </c>
      <c r="T22" s="10"/>
      <c r="U22" s="10"/>
      <c r="V22" s="10"/>
      <c r="W22" s="10"/>
      <c r="X22" s="10"/>
      <c r="Y22" s="10"/>
      <c r="Z22" s="10"/>
      <c r="AA22" s="10"/>
      <c r="AB22" s="10"/>
      <c r="AC22" s="10"/>
      <c r="AD22" s="10"/>
      <c r="AE22" s="10"/>
      <c r="AF22" s="10"/>
      <c r="AG22" s="10"/>
      <c r="AH22" s="10"/>
      <c r="AI22" s="32"/>
    </row>
  </sheetData>
  <mergeCells count="2">
    <mergeCell ref="B2:F2"/>
    <mergeCell ref="I2:AI2"/>
  </mergeCells>
  <conditionalFormatting pivot="1" sqref="L5:AI22">
    <cfRule type="colorScale" priority="9">
      <colorScale>
        <cfvo type="min"/>
        <cfvo type="max"/>
        <color theme="2" tint="-4.9989318521683403E-2"/>
        <color theme="4" tint="-0.249977111117893"/>
      </colorScale>
    </cfRule>
  </conditionalFormatting>
  <conditionalFormatting pivot="1">
    <cfRule type="cellIs" dxfId="111" priority="8" operator="equal">
      <formula>0.06</formula>
    </cfRule>
  </conditionalFormatting>
  <conditionalFormatting pivot="1">
    <cfRule type="cellIs" dxfId="110" priority="7" operator="equal">
      <formula>0.42</formula>
    </cfRule>
  </conditionalFormatting>
  <conditionalFormatting pivot="1">
    <cfRule type="cellIs" dxfId="109" priority="5" operator="equal">
      <formula>0.12</formula>
    </cfRule>
  </conditionalFormatting>
  <conditionalFormatting pivot="1">
    <cfRule type="cellIs" dxfId="108" priority="4" operator="equal">
      <formula>0.42</formula>
    </cfRule>
  </conditionalFormatting>
  <conditionalFormatting pivot="1">
    <cfRule type="cellIs" dxfId="107" priority="3" operator="equal">
      <formula>0.14</formula>
    </cfRule>
  </conditionalFormatting>
  <conditionalFormatting pivot="1">
    <cfRule type="cellIs" dxfId="106" priority="2" operator="equal">
      <formula>0.14</formula>
    </cfRule>
  </conditionalFormatting>
  <conditionalFormatting pivot="1">
    <cfRule type="cellIs" dxfId="105" priority="1" operator="equal">
      <formula>0.28</formula>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A4F93-1A73-4486-B66C-69B5274D8CB1}">
  <dimension ref="A3:P23"/>
  <sheetViews>
    <sheetView topLeftCell="C1" workbookViewId="0">
      <selection activeCell="P22" sqref="P22"/>
    </sheetView>
  </sheetViews>
  <sheetFormatPr defaultRowHeight="13.2" x14ac:dyDescent="0.25"/>
  <cols>
    <col min="1" max="1" width="13.33203125" bestFit="1" customWidth="1"/>
    <col min="2" max="2" width="13.6640625" bestFit="1" customWidth="1"/>
    <col min="3" max="3" width="4.6640625" bestFit="1" customWidth="1"/>
    <col min="4" max="4" width="17.33203125" bestFit="1" customWidth="1"/>
    <col min="5" max="5" width="5" bestFit="1" customWidth="1"/>
    <col min="6" max="6" width="17.33203125" bestFit="1" customWidth="1"/>
    <col min="7" max="7" width="4.77734375" bestFit="1" customWidth="1"/>
    <col min="9" max="9" width="13.33203125" bestFit="1" customWidth="1"/>
    <col min="10" max="10" width="13.6640625" bestFit="1" customWidth="1"/>
    <col min="11" max="11" width="7.44140625" bestFit="1" customWidth="1"/>
    <col min="12" max="12" width="17.33203125" bestFit="1" customWidth="1"/>
    <col min="13" max="13" width="11" bestFit="1" customWidth="1"/>
    <col min="14" max="14" width="12" bestFit="1" customWidth="1"/>
    <col min="15" max="15" width="10.88671875" bestFit="1" customWidth="1"/>
    <col min="17" max="17" width="11.33203125" bestFit="1" customWidth="1"/>
  </cols>
  <sheetData>
    <row r="3" spans="1:16" x14ac:dyDescent="0.25">
      <c r="A3" s="28" t="s">
        <v>64</v>
      </c>
      <c r="B3" s="45" t="s">
        <v>69</v>
      </c>
      <c r="C3" s="41" t="s">
        <v>71</v>
      </c>
      <c r="D3" s="43" t="s">
        <v>70</v>
      </c>
      <c r="E3" s="41" t="s">
        <v>72</v>
      </c>
      <c r="F3" s="44" t="s">
        <v>65</v>
      </c>
      <c r="G3" s="41" t="s">
        <v>73</v>
      </c>
      <c r="I3" s="28" t="s">
        <v>64</v>
      </c>
      <c r="J3" s="45" t="s">
        <v>69</v>
      </c>
      <c r="K3" s="41" t="s">
        <v>84</v>
      </c>
      <c r="L3" s="43" t="s">
        <v>70</v>
      </c>
      <c r="M3" s="41" t="s">
        <v>83</v>
      </c>
      <c r="N3" s="44" t="s">
        <v>81</v>
      </c>
      <c r="O3" s="41" t="s">
        <v>82</v>
      </c>
      <c r="P3" s="42"/>
    </row>
    <row r="4" spans="1:16" x14ac:dyDescent="0.25">
      <c r="A4" s="29" t="s">
        <v>31</v>
      </c>
      <c r="I4" s="29" t="s">
        <v>75</v>
      </c>
      <c r="J4">
        <v>170</v>
      </c>
      <c r="K4" s="47">
        <v>170</v>
      </c>
      <c r="L4">
        <v>3194</v>
      </c>
      <c r="M4" s="48">
        <v>3194</v>
      </c>
      <c r="N4">
        <v>3364</v>
      </c>
      <c r="O4" s="49">
        <v>3364</v>
      </c>
    </row>
    <row r="5" spans="1:16" x14ac:dyDescent="0.25">
      <c r="A5" s="30" t="s">
        <v>33</v>
      </c>
      <c r="B5">
        <v>22</v>
      </c>
      <c r="C5" s="46">
        <v>22</v>
      </c>
      <c r="D5">
        <v>574</v>
      </c>
      <c r="E5" s="46">
        <v>574</v>
      </c>
      <c r="F5">
        <v>596</v>
      </c>
      <c r="G5" s="46">
        <v>596</v>
      </c>
      <c r="I5" s="29" t="s">
        <v>76</v>
      </c>
      <c r="J5">
        <v>111</v>
      </c>
      <c r="K5" s="47">
        <v>111</v>
      </c>
      <c r="L5">
        <v>2779</v>
      </c>
      <c r="M5" s="48">
        <v>2779</v>
      </c>
      <c r="N5">
        <v>2890</v>
      </c>
      <c r="O5" s="49">
        <v>2890</v>
      </c>
    </row>
    <row r="6" spans="1:16" x14ac:dyDescent="0.25">
      <c r="A6" s="30" t="s">
        <v>34</v>
      </c>
      <c r="B6">
        <v>123</v>
      </c>
      <c r="C6" s="46">
        <v>123</v>
      </c>
      <c r="D6">
        <v>975</v>
      </c>
      <c r="E6" s="46">
        <v>975</v>
      </c>
      <c r="F6">
        <v>1098</v>
      </c>
      <c r="G6" s="46">
        <v>1098</v>
      </c>
      <c r="I6" s="29" t="s">
        <v>77</v>
      </c>
      <c r="J6">
        <v>125</v>
      </c>
      <c r="K6" s="47">
        <v>125</v>
      </c>
      <c r="L6">
        <v>3006</v>
      </c>
      <c r="M6" s="48">
        <v>3006</v>
      </c>
      <c r="N6">
        <v>3131</v>
      </c>
      <c r="O6" s="49">
        <v>3131</v>
      </c>
    </row>
    <row r="7" spans="1:16" x14ac:dyDescent="0.25">
      <c r="A7" s="30" t="s">
        <v>35</v>
      </c>
      <c r="B7">
        <v>140</v>
      </c>
      <c r="C7" s="46">
        <v>140</v>
      </c>
      <c r="D7">
        <v>956</v>
      </c>
      <c r="E7" s="46">
        <v>956</v>
      </c>
      <c r="F7">
        <v>1096</v>
      </c>
      <c r="G7" s="46">
        <v>1096</v>
      </c>
      <c r="I7" s="29" t="s">
        <v>78</v>
      </c>
      <c r="J7">
        <v>108</v>
      </c>
      <c r="K7" s="47">
        <v>108</v>
      </c>
      <c r="L7">
        <v>2980</v>
      </c>
      <c r="M7" s="48">
        <v>2980</v>
      </c>
      <c r="N7">
        <v>3088</v>
      </c>
      <c r="O7" s="49">
        <v>3088</v>
      </c>
    </row>
    <row r="8" spans="1:16" x14ac:dyDescent="0.25">
      <c r="A8" s="30" t="s">
        <v>36</v>
      </c>
      <c r="B8">
        <v>42</v>
      </c>
      <c r="C8" s="46">
        <v>42</v>
      </c>
      <c r="D8">
        <v>1459</v>
      </c>
      <c r="E8" s="46">
        <v>1459</v>
      </c>
      <c r="F8">
        <v>1501</v>
      </c>
      <c r="G8" s="46">
        <v>1501</v>
      </c>
      <c r="I8" s="29" t="s">
        <v>79</v>
      </c>
      <c r="J8">
        <v>259</v>
      </c>
      <c r="K8" s="47">
        <v>259</v>
      </c>
      <c r="L8">
        <v>3791</v>
      </c>
      <c r="M8" s="48">
        <v>3791</v>
      </c>
      <c r="N8">
        <v>4050</v>
      </c>
      <c r="O8" s="49">
        <v>4050</v>
      </c>
    </row>
    <row r="9" spans="1:16" x14ac:dyDescent="0.25">
      <c r="A9" s="29" t="s">
        <v>32</v>
      </c>
      <c r="C9" s="46"/>
      <c r="E9" s="46"/>
      <c r="G9" s="46"/>
      <c r="I9" s="29" t="s">
        <v>80</v>
      </c>
      <c r="J9">
        <v>511</v>
      </c>
      <c r="K9" s="47">
        <v>511</v>
      </c>
      <c r="L9">
        <v>3064</v>
      </c>
      <c r="M9" s="48">
        <v>3064</v>
      </c>
      <c r="N9">
        <v>3575</v>
      </c>
      <c r="O9" s="49">
        <v>3575</v>
      </c>
    </row>
    <row r="10" spans="1:16" x14ac:dyDescent="0.25">
      <c r="A10" s="30" t="s">
        <v>37</v>
      </c>
      <c r="B10">
        <v>47</v>
      </c>
      <c r="C10" s="46">
        <v>47</v>
      </c>
      <c r="D10">
        <v>1313</v>
      </c>
      <c r="E10" s="46">
        <v>1313</v>
      </c>
      <c r="F10">
        <v>1360</v>
      </c>
      <c r="G10" s="46">
        <v>1360</v>
      </c>
      <c r="I10" s="29" t="s">
        <v>74</v>
      </c>
      <c r="J10">
        <v>891</v>
      </c>
      <c r="K10" s="47">
        <v>891</v>
      </c>
      <c r="L10">
        <v>3417</v>
      </c>
      <c r="M10" s="48">
        <v>3417</v>
      </c>
      <c r="N10">
        <v>4308</v>
      </c>
      <c r="O10" s="49">
        <v>4308</v>
      </c>
    </row>
    <row r="11" spans="1:16" x14ac:dyDescent="0.25">
      <c r="A11" s="30" t="s">
        <v>38</v>
      </c>
      <c r="B11">
        <v>72</v>
      </c>
      <c r="C11" s="46">
        <v>72</v>
      </c>
      <c r="D11">
        <v>1454</v>
      </c>
      <c r="E11" s="46">
        <v>1454</v>
      </c>
      <c r="F11">
        <v>1526</v>
      </c>
      <c r="G11" s="46">
        <v>1526</v>
      </c>
    </row>
    <row r="12" spans="1:16" x14ac:dyDescent="0.25">
      <c r="A12" s="30" t="s">
        <v>39</v>
      </c>
      <c r="B12">
        <v>61</v>
      </c>
      <c r="C12" s="46">
        <v>61</v>
      </c>
      <c r="D12">
        <v>1489</v>
      </c>
      <c r="E12" s="46">
        <v>1489</v>
      </c>
      <c r="F12">
        <v>1550</v>
      </c>
      <c r="G12" s="46">
        <v>1550</v>
      </c>
    </row>
    <row r="13" spans="1:16" x14ac:dyDescent="0.25">
      <c r="A13" s="30" t="s">
        <v>40</v>
      </c>
      <c r="B13">
        <v>88</v>
      </c>
      <c r="C13" s="46">
        <v>88</v>
      </c>
      <c r="D13">
        <v>1620</v>
      </c>
      <c r="E13" s="46">
        <v>1620</v>
      </c>
      <c r="F13">
        <v>1708</v>
      </c>
      <c r="G13" s="46">
        <v>1708</v>
      </c>
    </row>
    <row r="14" spans="1:16" x14ac:dyDescent="0.25">
      <c r="A14" s="30" t="s">
        <v>41</v>
      </c>
      <c r="B14">
        <v>100</v>
      </c>
      <c r="C14" s="46">
        <v>100</v>
      </c>
      <c r="D14">
        <v>905</v>
      </c>
      <c r="E14" s="46">
        <v>905</v>
      </c>
      <c r="F14">
        <v>1005</v>
      </c>
      <c r="G14" s="46">
        <v>1005</v>
      </c>
    </row>
    <row r="15" spans="1:16" x14ac:dyDescent="0.25">
      <c r="A15" s="30" t="s">
        <v>42</v>
      </c>
      <c r="B15">
        <v>354</v>
      </c>
      <c r="C15" s="46">
        <v>354</v>
      </c>
      <c r="D15">
        <v>1269</v>
      </c>
      <c r="E15" s="46">
        <v>1269</v>
      </c>
      <c r="F15">
        <v>1623</v>
      </c>
      <c r="G15" s="46">
        <v>1623</v>
      </c>
    </row>
    <row r="16" spans="1:16" x14ac:dyDescent="0.25">
      <c r="A16" s="30" t="s">
        <v>43</v>
      </c>
      <c r="B16">
        <v>120</v>
      </c>
      <c r="C16" s="46">
        <v>120</v>
      </c>
      <c r="D16">
        <v>1592</v>
      </c>
      <c r="E16" s="46">
        <v>1592</v>
      </c>
      <c r="F16">
        <v>1712</v>
      </c>
      <c r="G16" s="46">
        <v>1712</v>
      </c>
    </row>
    <row r="17" spans="1:7" x14ac:dyDescent="0.25">
      <c r="A17" s="30" t="s">
        <v>44</v>
      </c>
      <c r="B17">
        <v>64</v>
      </c>
      <c r="C17" s="46">
        <v>64</v>
      </c>
      <c r="D17">
        <v>1466</v>
      </c>
      <c r="E17" s="46">
        <v>1466</v>
      </c>
      <c r="F17">
        <v>1530</v>
      </c>
      <c r="G17" s="46">
        <v>1530</v>
      </c>
    </row>
    <row r="18" spans="1:7" x14ac:dyDescent="0.25">
      <c r="A18" s="30" t="s">
        <v>45</v>
      </c>
      <c r="B18">
        <v>53</v>
      </c>
      <c r="C18" s="46">
        <v>53</v>
      </c>
      <c r="D18">
        <v>1552</v>
      </c>
      <c r="E18" s="46">
        <v>1552</v>
      </c>
      <c r="F18">
        <v>1605</v>
      </c>
      <c r="G18" s="46">
        <v>1605</v>
      </c>
    </row>
    <row r="19" spans="1:7" x14ac:dyDescent="0.25">
      <c r="A19" s="30" t="s">
        <v>46</v>
      </c>
      <c r="B19">
        <v>47</v>
      </c>
      <c r="C19" s="46">
        <v>47</v>
      </c>
      <c r="D19">
        <v>1491</v>
      </c>
      <c r="E19" s="46">
        <v>1491</v>
      </c>
      <c r="F19">
        <v>1538</v>
      </c>
      <c r="G19" s="46">
        <v>1538</v>
      </c>
    </row>
    <row r="20" spans="1:7" x14ac:dyDescent="0.25">
      <c r="A20" s="30" t="s">
        <v>47</v>
      </c>
      <c r="B20">
        <v>149</v>
      </c>
      <c r="C20" s="46">
        <v>149</v>
      </c>
      <c r="D20">
        <v>1597</v>
      </c>
      <c r="E20" s="46">
        <v>1597</v>
      </c>
      <c r="F20">
        <v>1746</v>
      </c>
      <c r="G20" s="46">
        <v>1746</v>
      </c>
    </row>
    <row r="21" spans="1:7" x14ac:dyDescent="0.25">
      <c r="A21" s="30" t="s">
        <v>48</v>
      </c>
      <c r="B21">
        <v>288</v>
      </c>
      <c r="C21" s="46">
        <v>288</v>
      </c>
      <c r="D21">
        <v>1184</v>
      </c>
      <c r="E21" s="46">
        <v>1184</v>
      </c>
      <c r="F21">
        <v>1472</v>
      </c>
      <c r="G21" s="46">
        <v>1472</v>
      </c>
    </row>
    <row r="22" spans="1:7" x14ac:dyDescent="0.25">
      <c r="A22" s="30" t="s">
        <v>49</v>
      </c>
      <c r="B22">
        <v>397</v>
      </c>
      <c r="C22" s="46">
        <v>397</v>
      </c>
      <c r="D22">
        <v>1192</v>
      </c>
      <c r="E22" s="46">
        <v>1192</v>
      </c>
      <c r="F22">
        <v>1589</v>
      </c>
      <c r="G22" s="46">
        <v>1589</v>
      </c>
    </row>
    <row r="23" spans="1:7" x14ac:dyDescent="0.25">
      <c r="A23" s="30" t="s">
        <v>50</v>
      </c>
      <c r="B23">
        <v>8</v>
      </c>
      <c r="C23" s="46">
        <v>8</v>
      </c>
      <c r="D23">
        <v>143</v>
      </c>
      <c r="E23" s="46">
        <v>143</v>
      </c>
      <c r="F23">
        <v>151</v>
      </c>
      <c r="G23" s="46">
        <v>151</v>
      </c>
    </row>
  </sheetData>
  <conditionalFormatting pivot="1" sqref="B6 B5 B7 B8 B9 B10 B11 B12 B13 B14 B15 B16 B17 B18 B19 B20 B21 B22 B23">
    <cfRule type="dataBar" priority="21">
      <dataBar>
        <cfvo type="min"/>
        <cfvo type="max"/>
        <color rgb="FF008AEF"/>
      </dataBar>
      <extLst>
        <ext xmlns:x14="http://schemas.microsoft.com/office/spreadsheetml/2009/9/main" uri="{B025F937-C7B1-47D3-B67F-A62EFF666E3E}">
          <x14:id>{5C6375DE-66B7-4B7E-A146-E5D3BDBD1A1A}</x14:id>
        </ext>
      </extLst>
    </cfRule>
  </conditionalFormatting>
  <conditionalFormatting pivot="1" sqref="B6 B5 B7 B8 B9 B10 B11 B12 B13 B14 B15 B16 B17 B18 B19 B20 B21 B22 B23">
    <cfRule type="dataBar" priority="15">
      <dataBar showValue="0">
        <cfvo type="min"/>
        <cfvo type="max"/>
        <color rgb="FF638EC6"/>
      </dataBar>
      <extLst>
        <ext xmlns:x14="http://schemas.microsoft.com/office/spreadsheetml/2009/9/main" uri="{B025F937-C7B1-47D3-B67F-A62EFF666E3E}">
          <x14:id>{39EA1B7C-1EA4-40E2-850F-652E3E8309C2}</x14:id>
        </ext>
      </extLst>
    </cfRule>
  </conditionalFormatting>
  <conditionalFormatting pivot="1" sqref="D6 D5 D7 D8 D9 D10 D11 D12 D13 D14 D15 D16 D17 D18 D19 D20 D21 D22 D23">
    <cfRule type="dataBar" priority="14">
      <dataBar>
        <cfvo type="min"/>
        <cfvo type="max"/>
        <color rgb="FF638EC6"/>
      </dataBar>
      <extLst>
        <ext xmlns:x14="http://schemas.microsoft.com/office/spreadsheetml/2009/9/main" uri="{B025F937-C7B1-47D3-B67F-A62EFF666E3E}">
          <x14:id>{7BD9F948-01AF-44AC-806F-A0F32C7E8E31}</x14:id>
        </ext>
      </extLst>
    </cfRule>
  </conditionalFormatting>
  <conditionalFormatting pivot="1" sqref="D6 D5 D7 D8 D9 D10 D11 D12 D13 D14 D15 D16 D17 D18 D19 D20 D21 D22 D23">
    <cfRule type="dataBar" priority="13">
      <dataBar showValue="0">
        <cfvo type="min"/>
        <cfvo type="max"/>
        <color rgb="FF638EC6"/>
      </dataBar>
      <extLst>
        <ext xmlns:x14="http://schemas.microsoft.com/office/spreadsheetml/2009/9/main" uri="{B025F937-C7B1-47D3-B67F-A62EFF666E3E}">
          <x14:id>{667D2E41-CC42-42C4-94E7-3BD7623A1DA4}</x14:id>
        </ext>
      </extLst>
    </cfRule>
  </conditionalFormatting>
  <conditionalFormatting pivot="1" sqref="F6 F5 F7 F8 F9 F10 F11 F12 F13 F14 F15 F16 F17 F18 F19 F20 F21 F22 F23">
    <cfRule type="dataBar" priority="12">
      <dataBar>
        <cfvo type="min"/>
        <cfvo type="max"/>
        <color rgb="FF638EC6"/>
      </dataBar>
      <extLst>
        <ext xmlns:x14="http://schemas.microsoft.com/office/spreadsheetml/2009/9/main" uri="{B025F937-C7B1-47D3-B67F-A62EFF666E3E}">
          <x14:id>{A7B6423B-D621-4DF5-8123-121080E92063}</x14:id>
        </ext>
      </extLst>
    </cfRule>
  </conditionalFormatting>
  <conditionalFormatting pivot="1" sqref="F5 F6 F7 F8 F9 F10 F11 F12 F13 F14 F15 F16 F17 F18 F19 F20 F21 F22 F23">
    <cfRule type="dataBar" priority="11">
      <dataBar showValue="0">
        <cfvo type="min"/>
        <cfvo type="max"/>
        <color rgb="FF638EC6"/>
      </dataBar>
      <extLst>
        <ext xmlns:x14="http://schemas.microsoft.com/office/spreadsheetml/2009/9/main" uri="{B025F937-C7B1-47D3-B67F-A62EFF666E3E}">
          <x14:id>{73CC0C48-6604-4A5A-8CC4-E452EFEBF80A}</x14:id>
        </ext>
      </extLst>
    </cfRule>
  </conditionalFormatting>
  <conditionalFormatting pivot="1" sqref="J4:J10">
    <cfRule type="dataBar" priority="10">
      <dataBar showValue="0">
        <cfvo type="min"/>
        <cfvo type="max"/>
        <color rgb="FF638EC6"/>
      </dataBar>
      <extLst>
        <ext xmlns:x14="http://schemas.microsoft.com/office/spreadsheetml/2009/9/main" uri="{B025F937-C7B1-47D3-B67F-A62EFF666E3E}">
          <x14:id>{DE6BF246-D74D-4082-AF6F-6BF21F26912D}</x14:id>
        </ext>
      </extLst>
    </cfRule>
  </conditionalFormatting>
  <conditionalFormatting pivot="1" sqref="L4:L10">
    <cfRule type="dataBar" priority="9">
      <dataBar showValue="0">
        <cfvo type="min"/>
        <cfvo type="max"/>
        <color rgb="FF638EC6"/>
      </dataBar>
      <extLst>
        <ext xmlns:x14="http://schemas.microsoft.com/office/spreadsheetml/2009/9/main" uri="{B025F937-C7B1-47D3-B67F-A62EFF666E3E}">
          <x14:id>{A1FB931E-AD46-4D02-8C4B-E1880DD5FE78}</x14:id>
        </ext>
      </extLst>
    </cfRule>
  </conditionalFormatting>
  <conditionalFormatting pivot="1" sqref="N4:N10">
    <cfRule type="dataBar" priority="6">
      <dataBar showValue="0">
        <cfvo type="min"/>
        <cfvo type="max"/>
        <color rgb="FFFFB628"/>
      </dataBar>
      <extLst>
        <ext xmlns:x14="http://schemas.microsoft.com/office/spreadsheetml/2009/9/main" uri="{B025F937-C7B1-47D3-B67F-A62EFF666E3E}">
          <x14:id>{2C4CD63B-4AB7-4C6F-B6C3-FB45F8FA7AE7}</x14:id>
        </ext>
      </extLst>
    </cfRule>
  </conditionalFormatting>
  <conditionalFormatting pivot="1" sqref="L4:L10">
    <cfRule type="dataBar" priority="7">
      <dataBar showValue="0">
        <cfvo type="min"/>
        <cfvo type="max"/>
        <color rgb="FFC00000"/>
      </dataBar>
      <extLst>
        <ext xmlns:x14="http://schemas.microsoft.com/office/spreadsheetml/2009/9/main" uri="{B025F937-C7B1-47D3-B67F-A62EFF666E3E}">
          <x14:id>{128B0A39-BBB6-4BD6-A28D-8071E05F13E4}</x14:id>
        </ext>
      </extLst>
    </cfRule>
  </conditionalFormatting>
  <conditionalFormatting pivot="1" sqref="D5 D6 D7 D8 D9 D10 D11 D12 D13 D14 D15 D16 D17 D18 D19 D20 D21 D22 D23">
    <cfRule type="dataBar" priority="5">
      <dataBar>
        <cfvo type="min"/>
        <cfvo type="max"/>
        <color rgb="FFD6007B"/>
      </dataBar>
      <extLst>
        <ext xmlns:x14="http://schemas.microsoft.com/office/spreadsheetml/2009/9/main" uri="{B025F937-C7B1-47D3-B67F-A62EFF666E3E}">
          <x14:id>{4F44A314-4CBC-4BD2-8E6D-A5DB3C5B7F12}</x14:id>
        </ext>
      </extLst>
    </cfRule>
  </conditionalFormatting>
  <conditionalFormatting pivot="1" sqref="D5 D6 D7 D8 D9 D10 D11 D12 D13 D14 D15 D16 D17 D18 D19 D20 D21 D22 D23">
    <cfRule type="dataBar" priority="4">
      <dataBar showValue="0">
        <cfvo type="min"/>
        <cfvo type="max"/>
        <color rgb="FFC00000"/>
      </dataBar>
      <extLst>
        <ext xmlns:x14="http://schemas.microsoft.com/office/spreadsheetml/2009/9/main" uri="{B025F937-C7B1-47D3-B67F-A62EFF666E3E}">
          <x14:id>{FD7F5AA4-9C0B-4636-B166-C4D9111FEFCB}</x14:id>
        </ext>
      </extLst>
    </cfRule>
  </conditionalFormatting>
  <conditionalFormatting pivot="1" sqref="F6 F5 F7 F8 F9 F10 F11 F12 F13 F14 F15 F16 F17 F18 F19 F20 F21 F22 F23">
    <cfRule type="dataBar" priority="3">
      <dataBar>
        <cfvo type="min"/>
        <cfvo type="max"/>
        <color rgb="FFFFB628"/>
      </dataBar>
      <extLst>
        <ext xmlns:x14="http://schemas.microsoft.com/office/spreadsheetml/2009/9/main" uri="{B025F937-C7B1-47D3-B67F-A62EFF666E3E}">
          <x14:id>{EA06CAEB-D99A-4EBD-8484-E322F5F31ABF}</x14:id>
        </ext>
      </extLst>
    </cfRule>
  </conditionalFormatting>
  <conditionalFormatting pivot="1" sqref="F5 F6 F7 F8 F9 F10 F11 F12 F13 F14 F15 F16 F17 F18 F19 F20 F21 F22 F23">
    <cfRule type="dataBar" priority="2">
      <dataBar showValue="0">
        <cfvo type="min"/>
        <cfvo type="max"/>
        <color rgb="FF638EC6"/>
      </dataBar>
      <extLst>
        <ext xmlns:x14="http://schemas.microsoft.com/office/spreadsheetml/2009/9/main" uri="{B025F937-C7B1-47D3-B67F-A62EFF666E3E}">
          <x14:id>{BF84F3AE-4D9A-4E20-A155-D8427DCB15DC}</x14:id>
        </ext>
      </extLst>
    </cfRule>
  </conditionalFormatting>
  <conditionalFormatting pivot="1" sqref="F5 F6 F7 F8 F9 F10 F11 F12 F13 F14 F15 F16 F17 F18 F19 F20 F21 F22 F23">
    <cfRule type="dataBar" priority="1">
      <dataBar showValue="0">
        <cfvo type="min"/>
        <cfvo type="max"/>
        <color rgb="FFFFC000"/>
      </dataBar>
      <extLst>
        <ext xmlns:x14="http://schemas.microsoft.com/office/spreadsheetml/2009/9/main" uri="{B025F937-C7B1-47D3-B67F-A62EFF666E3E}">
          <x14:id>{02BA245D-BD40-4450-87A8-0AE814A9B6AF}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5C6375DE-66B7-4B7E-A146-E5D3BDBD1A1A}">
            <x14:dataBar minLength="0" maxLength="100" gradient="0">
              <x14:cfvo type="autoMin"/>
              <x14:cfvo type="autoMax"/>
              <x14:negativeFillColor rgb="FFFF0000"/>
              <x14:axisColor rgb="FF000000"/>
            </x14:dataBar>
          </x14:cfRule>
          <xm:sqref>B6 B5 B7 B8 B9 B10 B11 B12 B13 B14 B15 B16 B17 B18 B19 B20 B21 B22 B23</xm:sqref>
        </x14:conditionalFormatting>
        <x14:conditionalFormatting xmlns:xm="http://schemas.microsoft.com/office/excel/2006/main" pivot="1">
          <x14:cfRule type="dataBar" id="{39EA1B7C-1EA4-40E2-850F-652E3E8309C2}">
            <x14:dataBar minLength="0" maxLength="100" gradient="0">
              <x14:cfvo type="autoMin"/>
              <x14:cfvo type="autoMax"/>
              <x14:negativeFillColor rgb="FFFF0000"/>
              <x14:axisColor rgb="FF000000"/>
            </x14:dataBar>
          </x14:cfRule>
          <xm:sqref>B6 B5 B7 B8 B9 B10 B11 B12 B13 B14 B15 B16 B17 B18 B19 B20 B21 B22 B23</xm:sqref>
        </x14:conditionalFormatting>
        <x14:conditionalFormatting xmlns:xm="http://schemas.microsoft.com/office/excel/2006/main" pivot="1">
          <x14:cfRule type="dataBar" id="{7BD9F948-01AF-44AC-806F-A0F32C7E8E31}">
            <x14:dataBar minLength="0" maxLength="100" gradient="0">
              <x14:cfvo type="autoMin"/>
              <x14:cfvo type="autoMax"/>
              <x14:negativeFillColor rgb="FFFF0000"/>
              <x14:axisColor rgb="FF000000"/>
            </x14:dataBar>
          </x14:cfRule>
          <xm:sqref>D6 D5 D7 D8 D9 D10 D11 D12 D13 D14 D15 D16 D17 D18 D19 D20 D21 D22 D23</xm:sqref>
        </x14:conditionalFormatting>
        <x14:conditionalFormatting xmlns:xm="http://schemas.microsoft.com/office/excel/2006/main" pivot="1">
          <x14:cfRule type="dataBar" id="{667D2E41-CC42-42C4-94E7-3BD7623A1DA4}">
            <x14:dataBar minLength="0" maxLength="100" gradient="0">
              <x14:cfvo type="autoMin"/>
              <x14:cfvo type="autoMax"/>
              <x14:negativeFillColor rgb="FFFF0000"/>
              <x14:axisColor rgb="FF000000"/>
            </x14:dataBar>
          </x14:cfRule>
          <xm:sqref>D6 D5 D7 D8 D9 D10 D11 D12 D13 D14 D15 D16 D17 D18 D19 D20 D21 D22 D23</xm:sqref>
        </x14:conditionalFormatting>
        <x14:conditionalFormatting xmlns:xm="http://schemas.microsoft.com/office/excel/2006/main" pivot="1">
          <x14:cfRule type="dataBar" id="{A7B6423B-D621-4DF5-8123-121080E92063}">
            <x14:dataBar minLength="0" maxLength="100" gradient="0">
              <x14:cfvo type="autoMin"/>
              <x14:cfvo type="autoMax"/>
              <x14:negativeFillColor rgb="FFFF0000"/>
              <x14:axisColor rgb="FF000000"/>
            </x14:dataBar>
          </x14:cfRule>
          <xm:sqref>F6 F5 F7 F8 F9 F10 F11 F12 F13 F14 F15 F16 F17 F18 F19 F20 F21 F22 F23</xm:sqref>
        </x14:conditionalFormatting>
        <x14:conditionalFormatting xmlns:xm="http://schemas.microsoft.com/office/excel/2006/main" pivot="1">
          <x14:cfRule type="dataBar" id="{73CC0C48-6604-4A5A-8CC4-E452EFEBF80A}">
            <x14:dataBar minLength="0" maxLength="100" gradient="0">
              <x14:cfvo type="autoMin"/>
              <x14:cfvo type="autoMax"/>
              <x14:negativeFillColor rgb="FFFF0000"/>
              <x14:axisColor rgb="FF000000"/>
            </x14:dataBar>
          </x14:cfRule>
          <xm:sqref>F5 F6 F7 F8 F9 F10 F11 F12 F13 F14 F15 F16 F17 F18 F19 F20 F21 F22 F23</xm:sqref>
        </x14:conditionalFormatting>
        <x14:conditionalFormatting xmlns:xm="http://schemas.microsoft.com/office/excel/2006/main" pivot="1">
          <x14:cfRule type="dataBar" id="{DE6BF246-D74D-4082-AF6F-6BF21F26912D}">
            <x14:dataBar minLength="0" maxLength="100" gradient="0">
              <x14:cfvo type="autoMin"/>
              <x14:cfvo type="autoMax"/>
              <x14:negativeFillColor rgb="FFFF0000"/>
              <x14:axisColor rgb="FF000000"/>
            </x14:dataBar>
          </x14:cfRule>
          <xm:sqref>J4:J10</xm:sqref>
        </x14:conditionalFormatting>
        <x14:conditionalFormatting xmlns:xm="http://schemas.microsoft.com/office/excel/2006/main" pivot="1">
          <x14:cfRule type="dataBar" id="{A1FB931E-AD46-4D02-8C4B-E1880DD5FE78}">
            <x14:dataBar minLength="0" maxLength="100" gradient="0">
              <x14:cfvo type="autoMin"/>
              <x14:cfvo type="autoMax"/>
              <x14:negativeFillColor rgb="FFFF0000"/>
              <x14:axisColor rgb="FF000000"/>
            </x14:dataBar>
          </x14:cfRule>
          <xm:sqref>L4:L10</xm:sqref>
        </x14:conditionalFormatting>
        <x14:conditionalFormatting xmlns:xm="http://schemas.microsoft.com/office/excel/2006/main" pivot="1">
          <x14:cfRule type="dataBar" id="{2C4CD63B-4AB7-4C6F-B6C3-FB45F8FA7AE7}">
            <x14:dataBar minLength="0" maxLength="100" gradient="0">
              <x14:cfvo type="autoMin"/>
              <x14:cfvo type="autoMax"/>
              <x14:negativeFillColor rgb="FFFF0000"/>
              <x14:axisColor rgb="FF000000"/>
            </x14:dataBar>
          </x14:cfRule>
          <xm:sqref>N4:N10</xm:sqref>
        </x14:conditionalFormatting>
        <x14:conditionalFormatting xmlns:xm="http://schemas.microsoft.com/office/excel/2006/main" pivot="1">
          <x14:cfRule type="dataBar" id="{128B0A39-BBB6-4BD6-A28D-8071E05F13E4}">
            <x14:dataBar minLength="0" maxLength="100" gradient="0">
              <x14:cfvo type="autoMin"/>
              <x14:cfvo type="autoMax"/>
              <x14:negativeFillColor rgb="FFFF0000"/>
              <x14:axisColor rgb="FF000000"/>
            </x14:dataBar>
          </x14:cfRule>
          <xm:sqref>L4:L10</xm:sqref>
        </x14:conditionalFormatting>
        <x14:conditionalFormatting xmlns:xm="http://schemas.microsoft.com/office/excel/2006/main" pivot="1">
          <x14:cfRule type="dataBar" id="{4F44A314-4CBC-4BD2-8E6D-A5DB3C5B7F12}">
            <x14:dataBar minLength="0" maxLength="100" gradient="0">
              <x14:cfvo type="autoMin"/>
              <x14:cfvo type="autoMax"/>
              <x14:negativeFillColor rgb="FFFF0000"/>
              <x14:axisColor rgb="FF000000"/>
            </x14:dataBar>
          </x14:cfRule>
          <xm:sqref>D5 D6 D7 D8 D9 D10 D11 D12 D13 D14 D15 D16 D17 D18 D19 D20 D21 D22 D23</xm:sqref>
        </x14:conditionalFormatting>
        <x14:conditionalFormatting xmlns:xm="http://schemas.microsoft.com/office/excel/2006/main" pivot="1">
          <x14:cfRule type="dataBar" id="{FD7F5AA4-9C0B-4636-B166-C4D9111FEFCB}">
            <x14:dataBar minLength="0" maxLength="100" gradient="0">
              <x14:cfvo type="autoMin"/>
              <x14:cfvo type="autoMax"/>
              <x14:negativeFillColor rgb="FFFF0000"/>
              <x14:axisColor rgb="FF000000"/>
            </x14:dataBar>
          </x14:cfRule>
          <xm:sqref>D5 D6 D7 D8 D9 D10 D11 D12 D13 D14 D15 D16 D17 D18 D19 D20 D21 D22 D23</xm:sqref>
        </x14:conditionalFormatting>
        <x14:conditionalFormatting xmlns:xm="http://schemas.microsoft.com/office/excel/2006/main" pivot="1">
          <x14:cfRule type="dataBar" id="{EA06CAEB-D99A-4EBD-8484-E322F5F31ABF}">
            <x14:dataBar minLength="0" maxLength="100" gradient="0">
              <x14:cfvo type="autoMin"/>
              <x14:cfvo type="autoMax"/>
              <x14:negativeFillColor rgb="FFFF0000"/>
              <x14:axisColor rgb="FF000000"/>
            </x14:dataBar>
          </x14:cfRule>
          <xm:sqref>F6 F5 F7 F8 F9 F10 F11 F12 F13 F14 F15 F16 F17 F18 F19 F20 F21 F22 F23</xm:sqref>
        </x14:conditionalFormatting>
        <x14:conditionalFormatting xmlns:xm="http://schemas.microsoft.com/office/excel/2006/main" pivot="1">
          <x14:cfRule type="dataBar" id="{BF84F3AE-4D9A-4E20-A155-D8427DCB15DC}">
            <x14:dataBar minLength="0" maxLength="100" gradient="0">
              <x14:cfvo type="autoMin"/>
              <x14:cfvo type="autoMax"/>
              <x14:negativeFillColor rgb="FFFF0000"/>
              <x14:axisColor rgb="FF000000"/>
            </x14:dataBar>
          </x14:cfRule>
          <xm:sqref>F5 F6 F7 F8 F9 F10 F11 F12 F13 F14 F15 F16 F17 F18 F19 F20 F21 F22 F23</xm:sqref>
        </x14:conditionalFormatting>
        <x14:conditionalFormatting xmlns:xm="http://schemas.microsoft.com/office/excel/2006/main" pivot="1">
          <x14:cfRule type="dataBar" id="{02BA245D-BD40-4450-87A8-0AE814A9B6AF}">
            <x14:dataBar minLength="0" maxLength="100" gradient="0">
              <x14:cfvo type="autoMin"/>
              <x14:cfvo type="autoMax"/>
              <x14:negativeFillColor rgb="FFFF0000"/>
              <x14:axisColor rgb="FF000000"/>
            </x14:dataBar>
          </x14:cfRule>
          <xm:sqref>F5 F6 F7 F8 F9 F10 F11 F12 F13 F14 F15 F16 F17 F18 F19 F20 F21 F22 F23</xm:sqref>
        </x14:conditionalFormatting>
      </x14:conditionalFormattings>
    </ex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5BB03-1D5D-4CE0-9FEB-D0949C66A354}">
  <dimension ref="B2:I10"/>
  <sheetViews>
    <sheetView workbookViewId="0">
      <selection activeCell="H3" sqref="H3"/>
    </sheetView>
  </sheetViews>
  <sheetFormatPr defaultRowHeight="13.2" x14ac:dyDescent="0.25"/>
  <cols>
    <col min="2" max="2" width="2.44140625" hidden="1" customWidth="1"/>
    <col min="3" max="3" width="16.77734375" bestFit="1" customWidth="1"/>
    <col min="4" max="4" width="8.109375" customWidth="1"/>
    <col min="5" max="5" width="9.6640625" bestFit="1" customWidth="1"/>
    <col min="9" max="9" width="10.33203125" bestFit="1" customWidth="1"/>
  </cols>
  <sheetData>
    <row r="2" spans="2:9" x14ac:dyDescent="0.25">
      <c r="I2" s="4"/>
    </row>
    <row r="3" spans="2:9" x14ac:dyDescent="0.25">
      <c r="C3" s="37"/>
      <c r="D3" s="38" t="s">
        <v>25</v>
      </c>
      <c r="E3" s="38" t="s">
        <v>26</v>
      </c>
      <c r="F3" s="39" t="s">
        <v>63</v>
      </c>
    </row>
    <row r="4" spans="2:9" x14ac:dyDescent="0.25">
      <c r="C4" s="40" t="s">
        <v>66</v>
      </c>
      <c r="D4">
        <f>MIN(dataset3[Casual])</f>
        <v>0</v>
      </c>
      <c r="E4">
        <f>MIN(dataset3[Registered])</f>
        <v>0</v>
      </c>
      <c r="F4" s="31">
        <f>MIN(dataset3[Total])</f>
        <v>1</v>
      </c>
    </row>
    <row r="5" spans="2:9" x14ac:dyDescent="0.25">
      <c r="C5" s="40" t="s">
        <v>67</v>
      </c>
      <c r="D5">
        <f>MAX(dataset3[Casual])</f>
        <v>62</v>
      </c>
      <c r="E5">
        <f>MAX(dataset3[Registered])</f>
        <v>236</v>
      </c>
      <c r="F5" s="31">
        <f>MAX(dataset3[Total])</f>
        <v>243</v>
      </c>
    </row>
    <row r="6" spans="2:9" x14ac:dyDescent="0.25">
      <c r="B6">
        <v>1</v>
      </c>
      <c r="C6" s="40" t="s">
        <v>68</v>
      </c>
      <c r="D6">
        <f>LARGE(dataset3[Casual],B6)</f>
        <v>62</v>
      </c>
      <c r="E6">
        <f>LARGE(dataset3[Registered],B6)</f>
        <v>236</v>
      </c>
      <c r="F6" s="31">
        <f>LARGE(dataset3[Total],B6)</f>
        <v>243</v>
      </c>
    </row>
    <row r="7" spans="2:9" x14ac:dyDescent="0.25">
      <c r="B7">
        <v>2</v>
      </c>
      <c r="C7" s="9"/>
      <c r="D7">
        <f>LARGE(dataset3[Casual],B7)</f>
        <v>58</v>
      </c>
      <c r="E7">
        <f>LARGE(dataset3[Registered],B7)</f>
        <v>223</v>
      </c>
      <c r="F7" s="31">
        <f>LARGE(dataset3[Total],B7)</f>
        <v>230</v>
      </c>
    </row>
    <row r="8" spans="2:9" x14ac:dyDescent="0.25">
      <c r="B8">
        <v>3</v>
      </c>
      <c r="C8" s="9"/>
      <c r="D8">
        <f>LARGE(dataset3[Casual],B8)</f>
        <v>52</v>
      </c>
      <c r="E8">
        <f>LARGE(dataset3[Registered],B8)</f>
        <v>217</v>
      </c>
      <c r="F8" s="31">
        <f>LARGE(dataset3[Total],B8)</f>
        <v>220</v>
      </c>
    </row>
    <row r="9" spans="2:9" x14ac:dyDescent="0.25">
      <c r="B9">
        <v>4</v>
      </c>
      <c r="C9" s="9"/>
      <c r="D9">
        <f>LARGE(dataset3[Casual],B9)</f>
        <v>51</v>
      </c>
      <c r="E9">
        <f>LARGE(dataset3[Registered],B9)</f>
        <v>212</v>
      </c>
      <c r="F9" s="31">
        <f>LARGE(dataset3[Total],B9)</f>
        <v>216</v>
      </c>
    </row>
    <row r="10" spans="2:9" x14ac:dyDescent="0.25">
      <c r="B10">
        <v>5</v>
      </c>
      <c r="C10" s="35"/>
      <c r="D10" s="10">
        <f>LARGE(dataset3[Casual],B10)</f>
        <v>48</v>
      </c>
      <c r="E10" s="10">
        <f>LARGE(dataset3[Registered],B10)</f>
        <v>207</v>
      </c>
      <c r="F10" s="32">
        <f>LARGE(dataset3[Total],B10)</f>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dataset_3</vt:lpstr>
      <vt:lpstr>Table</vt:lpstr>
      <vt:lpstr>Pivot</vt:lpstr>
      <vt:lpstr>Pivot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chiragdjadhav@outlook.com</cp:lastModifiedBy>
  <dcterms:modified xsi:type="dcterms:W3CDTF">2026-01-11T16:20:51Z</dcterms:modified>
</cp:coreProperties>
</file>